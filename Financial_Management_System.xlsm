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BuÇalışmaKitabı" hidePivotFieldList="1"/>
  <mc:AlternateContent xmlns:mc="http://schemas.openxmlformats.org/markup-compatibility/2006">
    <mc:Choice Requires="x15">
      <x15ac:absPath xmlns:x15ac="http://schemas.microsoft.com/office/spreadsheetml/2010/11/ac" url="C:\Users\srcn6\OneDrive\Desktop\Personal Finance Tracker VBA\"/>
    </mc:Choice>
  </mc:AlternateContent>
  <xr:revisionPtr revIDLastSave="0" documentId="13_ncr:1_{517C3C5E-B6F5-4FA0-A823-EA48016B61F7}" xr6:coauthVersionLast="47" xr6:coauthVersionMax="47" xr10:uidLastSave="{00000000-0000-0000-0000-000000000000}"/>
  <bookViews>
    <workbookView xWindow="-120" yWindow="-120" windowWidth="29040" windowHeight="15720" firstSheet="4" activeTab="4" xr2:uid="{00000000-000D-0000-FFFF-FFFF00000000}"/>
  </bookViews>
  <sheets>
    <sheet name="tbl_Expenses" sheetId="1" state="hidden" r:id="rId1"/>
    <sheet name="tbl_Revenues" sheetId="2" state="hidden" r:id="rId2"/>
    <sheet name="tbl_Investments" sheetId="3" state="hidden" r:id="rId3"/>
    <sheet name="calculation" sheetId="4" state="hidden" r:id="rId4"/>
    <sheet name="DASHBOARD" sheetId="5" r:id="rId5"/>
  </sheets>
  <definedNames>
    <definedName name="Dilimleyici_Payment_Method">#N/A</definedName>
  </definedNames>
  <calcPr calcId="191029"/>
  <pivotCaches>
    <pivotCache cacheId="101" r:id="rId6"/>
    <pivotCache cacheId="106" r:id="rId7"/>
    <pivotCache cacheId="114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F9" i="1" l="1"/>
  <c r="B3" i="4"/>
  <c r="B5" i="4" a="1"/>
  <c r="B5" i="4" s="1"/>
  <c r="F2" i="1"/>
  <c r="F3" i="1"/>
  <c r="F4" i="1"/>
  <c r="F5" i="1"/>
  <c r="F6" i="1"/>
  <c r="F7" i="1"/>
  <c r="F8" i="1"/>
  <c r="F2" i="4" a="1"/>
  <c r="F2" i="4" s="1"/>
  <c r="B4" i="4"/>
  <c r="B2" i="4"/>
  <c r="B1" i="4"/>
  <c r="G3" i="4" l="1"/>
  <c r="G5" i="4"/>
  <c r="G10" i="4"/>
  <c r="G9" i="4"/>
  <c r="G11" i="4"/>
  <c r="G8" i="4"/>
  <c r="G7" i="4"/>
  <c r="G4" i="4"/>
  <c r="G6" i="4"/>
  <c r="G2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<sst xmlns="http://schemas.openxmlformats.org/spreadsheetml/2006/main" count="93" uniqueCount="53">
  <si>
    <t>Date</t>
  </si>
  <si>
    <t>Category</t>
  </si>
  <si>
    <t>Comments</t>
  </si>
  <si>
    <t>Amount</t>
  </si>
  <si>
    <t>Payment Method</t>
  </si>
  <si>
    <t>Source</t>
  </si>
  <si>
    <t>Entity Name</t>
  </si>
  <si>
    <t>Current Price</t>
  </si>
  <si>
    <t>Good</t>
  </si>
  <si>
    <t>Payment Methods</t>
  </si>
  <si>
    <t>Credit Card</t>
  </si>
  <si>
    <t>Cash</t>
  </si>
  <si>
    <t>Housing</t>
  </si>
  <si>
    <t>Education</t>
  </si>
  <si>
    <t>Rent</t>
  </si>
  <si>
    <t>İnsurance</t>
  </si>
  <si>
    <t>Taxes</t>
  </si>
  <si>
    <t>Transportation</t>
  </si>
  <si>
    <t>Health</t>
  </si>
  <si>
    <t>Clothing</t>
  </si>
  <si>
    <t>Entertainment</t>
  </si>
  <si>
    <t>Holiday</t>
  </si>
  <si>
    <t>Bill</t>
  </si>
  <si>
    <t>Bad</t>
  </si>
  <si>
    <t>Average</t>
  </si>
  <si>
    <t>Bank Card</t>
  </si>
  <si>
    <t>Freelance</t>
  </si>
  <si>
    <t>job</t>
  </si>
  <si>
    <t>Gold</t>
  </si>
  <si>
    <t>Exchange</t>
  </si>
  <si>
    <t>Total Revenues</t>
  </si>
  <si>
    <t>Total Expenses</t>
  </si>
  <si>
    <t>Balance</t>
  </si>
  <si>
    <t>Investment Portfolio Value</t>
  </si>
  <si>
    <t>Sum Amount</t>
  </si>
  <si>
    <t>Purchase Price</t>
  </si>
  <si>
    <t>Quantity</t>
  </si>
  <si>
    <t>Month</t>
  </si>
  <si>
    <t>Profit/Loss</t>
  </si>
  <si>
    <t>Satır Etiketleri</t>
  </si>
  <si>
    <t>Genel Toplam</t>
  </si>
  <si>
    <t>Toplam Total Value</t>
  </si>
  <si>
    <t>Silver</t>
  </si>
  <si>
    <t>Debt</t>
  </si>
  <si>
    <t>Toplam Amount</t>
  </si>
  <si>
    <t>24.05.2024</t>
  </si>
  <si>
    <t>sport</t>
  </si>
  <si>
    <t>28.03.2023</t>
  </si>
  <si>
    <t>copper</t>
  </si>
  <si>
    <t>15.05.2023</t>
  </si>
  <si>
    <t>18.06.2023</t>
  </si>
  <si>
    <t>30.06.2023</t>
  </si>
  <si>
    <t>Job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</si>
</sst>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\$* #,##0.00"/>
    <numFmt numFmtId="165" formatCode="\$* #,###.00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 Light"/>
      <family val="2"/>
      <charset val="162"/>
      <scheme val="major"/>
    </font>
  </fonts>
  <fills count="3">
    <fill>
      <patternFill patternType="none"/>
    </fill>
    <fill>
      <patternFill patternType="gray125"/>
    </fill>
    <fill>
      <patternFill patternType="solid">
        <fgColor rgb="FF384F66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1" fillId="0" borderId="0" xfId="0" applyFont="1"/>
    <xf numFmtId="49" fontId="1" fillId="0" borderId="0" xfId="0" applyNumberFormat="1" applyFont="1"/>
    <xf numFmtId="164" fontId="1" fillId="0" borderId="0" xfId="0" applyNumberFormat="1" applyFont="1"/>
    <xf numFmtId="165" fontId="1" fillId="0" borderId="0" xfId="0" applyNumberFormat="1" applyFont="1"/>
    <xf numFmtId="14" fontId="1" fillId="0" borderId="0" xfId="0" applyNumberFormat="1" applyFont="1" applyAlignment="1">
      <alignment horizontal="center" vertical="center"/>
    </xf>
    <xf numFmtId="49" fontId="1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164" fontId="0" fillId="0" borderId="0" xfId="0" applyNumberFormat="1"/>
    <xf numFmtId="0" fontId="0" fillId="2" borderId="0" xfId="0" applyFill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1" fillId="0" borderId="0" xfId="0" applyNumberFormat="1" applyFont="1"/>
    <xf numFmtId="14" fontId="1" fillId="0" borderId="0" xfId="0" applyNumberFormat="1" applyFont="1" applyAlignment="1">
      <alignment horizontal="right" vertical="center"/>
    </xf>
    <xf numFmtId="0" fontId="1" fillId="0" borderId="0" xfId="0" applyFont="1" applyAlignment="1">
      <alignment horizontal="right" vertical="center"/>
    </xf>
  </cellXfs>
  <cellStyles count="1">
    <cellStyle name="Normal" xfId="0" builtinId="0"/>
  </cellStyles>
  <dxfs count="32">
    <dxf>
      <font>
        <strike val="0"/>
        <outline val="0"/>
        <shadow val="0"/>
        <u val="none"/>
        <vertAlign val="baseline"/>
        <sz val="11"/>
        <color theme="1"/>
        <name val="Calibri Light"/>
        <family val="2"/>
        <charset val="162"/>
        <scheme val="major"/>
      </font>
      <numFmt numFmtId="19" formatCode="d/mm/yyyy"/>
      <alignment horizontal="right" vertical="center" textRotation="0" wrapText="0" indent="0" justifyLastLine="0" shrinkToFit="0" readingOrder="0"/>
    </dxf>
    <dxf>
      <numFmt numFmtId="164" formatCode="\$* #,##0.00"/>
    </dxf>
    <dxf>
      <numFmt numFmtId="164" formatCode="\$* #,##0.00"/>
    </dxf>
    <dxf>
      <numFmt numFmtId="164" formatCode="\$* #,##0.00"/>
    </dxf>
    <dxf>
      <numFmt numFmtId="164" formatCode="\$* #,##0.00"/>
    </dxf>
    <dxf>
      <font>
        <strike val="0"/>
        <outline val="0"/>
        <shadow val="0"/>
        <u val="none"/>
        <vertAlign val="baseline"/>
        <sz val="11"/>
        <color theme="1"/>
        <name val="Calibri Light"/>
        <family val="2"/>
        <charset val="162"/>
        <scheme val="major"/>
      </font>
    </dxf>
    <dxf>
      <font>
        <strike val="0"/>
        <outline val="0"/>
        <shadow val="0"/>
        <u val="none"/>
        <vertAlign val="baseline"/>
        <sz val="11"/>
        <color theme="1"/>
        <name val="Calibri Light"/>
        <family val="2"/>
        <charset val="162"/>
        <scheme val="major"/>
      </font>
      <numFmt numFmtId="164" formatCode="\$* #,##0.00"/>
    </dxf>
    <dxf>
      <font>
        <strike val="0"/>
        <outline val="0"/>
        <shadow val="0"/>
        <u val="none"/>
        <vertAlign val="baseline"/>
        <sz val="11"/>
        <color theme="1"/>
        <name val="Calibri Light"/>
        <family val="2"/>
        <charset val="162"/>
        <scheme val="major"/>
      </font>
      <numFmt numFmtId="164" formatCode="\$* #,##0.00"/>
    </dxf>
    <dxf>
      <font>
        <strike val="0"/>
        <outline val="0"/>
        <shadow val="0"/>
        <u val="none"/>
        <vertAlign val="baseline"/>
        <sz val="11"/>
        <color theme="1"/>
        <name val="Calibri Light"/>
        <family val="2"/>
        <charset val="162"/>
        <scheme val="major"/>
      </font>
      <numFmt numFmtId="30" formatCode="@"/>
    </dxf>
    <dxf>
      <font>
        <strike val="0"/>
        <outline val="0"/>
        <shadow val="0"/>
        <u val="none"/>
        <vertAlign val="baseline"/>
        <sz val="11"/>
        <color theme="1"/>
        <name val="Calibri Light"/>
        <family val="2"/>
        <charset val="162"/>
        <scheme val="major"/>
      </font>
    </dxf>
    <dxf>
      <font>
        <strike val="0"/>
        <outline val="0"/>
        <shadow val="0"/>
        <u val="none"/>
        <vertAlign val="baseline"/>
        <sz val="11"/>
        <color theme="1"/>
        <name val="Calibri Light"/>
        <family val="2"/>
        <charset val="162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 Light"/>
        <family val="2"/>
        <charset val="162"/>
        <scheme val="major"/>
      </font>
      <numFmt numFmtId="164" formatCode="\$* #,##0.00"/>
    </dxf>
    <dxf>
      <font>
        <strike val="0"/>
        <outline val="0"/>
        <shadow val="0"/>
        <u val="none"/>
        <vertAlign val="baseline"/>
        <sz val="11"/>
        <color theme="1"/>
        <name val="Calibri Light"/>
        <family val="2"/>
        <charset val="162"/>
        <scheme val="major"/>
      </font>
      <numFmt numFmtId="30" formatCode="@"/>
    </dxf>
    <dxf>
      <font>
        <strike val="0"/>
        <outline val="0"/>
        <shadow val="0"/>
        <u val="none"/>
        <vertAlign val="baseline"/>
        <sz val="11"/>
        <color theme="1"/>
        <name val="Calibri Light"/>
        <family val="2"/>
        <charset val="162"/>
        <scheme val="major"/>
      </font>
      <numFmt numFmtId="19" formatCode="d/mm/yyyy"/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 Light"/>
        <family val="2"/>
        <charset val="162"/>
        <scheme val="major"/>
      </font>
    </dxf>
    <dxf>
      <font>
        <strike val="0"/>
        <outline val="0"/>
        <shadow val="0"/>
        <u val="none"/>
        <vertAlign val="baseline"/>
        <sz val="11"/>
        <color theme="1"/>
        <name val="Calibri Light"/>
        <family val="2"/>
        <charset val="162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 Light"/>
        <family val="2"/>
        <charset val="162"/>
        <scheme val="maj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Calibri Light"/>
        <family val="2"/>
        <charset val="162"/>
        <scheme val="major"/>
      </font>
    </dxf>
    <dxf>
      <font>
        <strike val="0"/>
        <outline val="0"/>
        <shadow val="0"/>
        <u val="none"/>
        <vertAlign val="baseline"/>
        <sz val="11"/>
        <color theme="1"/>
        <name val="Calibri Light"/>
        <family val="2"/>
        <charset val="162"/>
        <scheme val="major"/>
      </font>
      <numFmt numFmtId="165" formatCode="\$* #,###.00"/>
    </dxf>
    <dxf>
      <font>
        <strike val="0"/>
        <outline val="0"/>
        <shadow val="0"/>
        <u val="none"/>
        <vertAlign val="baseline"/>
        <sz val="11"/>
        <color theme="1"/>
        <name val="Calibri Light"/>
        <family val="2"/>
        <charset val="162"/>
        <scheme val="major"/>
      </font>
      <numFmt numFmtId="30" formatCode="@"/>
    </dxf>
    <dxf>
      <font>
        <strike val="0"/>
        <outline val="0"/>
        <shadow val="0"/>
        <u val="none"/>
        <vertAlign val="baseline"/>
        <sz val="11"/>
        <color theme="1"/>
        <name val="Calibri Light"/>
        <family val="2"/>
        <charset val="162"/>
        <scheme val="major"/>
      </font>
      <numFmt numFmtId="30" formatCode="@"/>
    </dxf>
    <dxf>
      <font>
        <strike val="0"/>
        <outline val="0"/>
        <shadow val="0"/>
        <u val="none"/>
        <vertAlign val="baseline"/>
        <sz val="11"/>
        <color theme="1"/>
        <name val="Calibri Light"/>
        <family val="2"/>
        <charset val="162"/>
        <scheme val="major"/>
      </font>
      <numFmt numFmtId="19" formatCode="d/mm/yyyy"/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 Light"/>
        <family val="2"/>
        <charset val="162"/>
        <scheme val="major"/>
      </font>
    </dxf>
    <dxf>
      <font>
        <strike val="0"/>
        <outline val="0"/>
        <shadow val="0"/>
        <u val="none"/>
        <vertAlign val="baseline"/>
        <sz val="11"/>
        <color theme="1"/>
        <name val="Calibri Light"/>
        <family val="2"/>
        <charset val="162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color theme="0"/>
      </font>
      <fill>
        <patternFill>
          <bgColor rgb="FF212E3B"/>
        </patternFill>
      </fill>
    </dxf>
    <dxf>
      <font>
        <color rgb="FFF1C40F"/>
      </font>
      <fill>
        <patternFill>
          <bgColor rgb="FF384F66"/>
        </patternFill>
      </fill>
    </dxf>
    <dxf>
      <font>
        <b val="0"/>
        <i val="0"/>
        <color theme="0"/>
      </font>
      <fill>
        <patternFill>
          <bgColor rgb="FF212E3B"/>
        </patternFill>
      </fill>
    </dxf>
    <dxf>
      <font>
        <color rgb="FFE74C3C"/>
      </font>
      <fill>
        <patternFill>
          <bgColor rgb="FF384F66"/>
        </patternFill>
      </fill>
    </dxf>
    <dxf>
      <font>
        <b val="0"/>
        <i val="0"/>
        <color theme="0"/>
      </font>
      <fill>
        <patternFill>
          <bgColor rgb="FF212E3B"/>
        </patternFill>
      </fill>
    </dxf>
    <dxf>
      <font>
        <color rgb="FF27AE60"/>
      </font>
      <fill>
        <patternFill>
          <bgColor rgb="FF384F66"/>
        </patternFill>
      </fill>
    </dxf>
    <dxf>
      <font>
        <color rgb="FFF1C40F"/>
      </font>
    </dxf>
    <dxf>
      <fill>
        <patternFill>
          <bgColor rgb="FF333F50"/>
        </patternFill>
      </fill>
    </dxf>
  </dxfs>
  <tableStyles count="4" defaultTableStyle="TableStyleMedium2" defaultPivotStyle="PivotStyleLight16">
    <tableStyle name="Dilimleyici Stili 1" pivot="0" table="0" count="10" xr9:uid="{6162A322-7BB1-4143-B9BC-9AC9DA58E31A}">
      <tableStyleElement type="wholeTable" dxfId="31"/>
      <tableStyleElement type="headerRow" dxfId="30"/>
    </tableStyle>
    <tableStyle name="Tablo Stili 1" pivot="0" count="2" xr9:uid="{FD49AE1B-C267-42AB-8D5A-8722BF561B8D}">
      <tableStyleElement type="wholeTable" dxfId="29"/>
      <tableStyleElement type="headerRow" dxfId="28"/>
    </tableStyle>
    <tableStyle name="Tablo Stili 1 2" pivot="0" count="2" xr9:uid="{C9FE83FF-C64F-4825-8843-832BB33912DF}">
      <tableStyleElement type="wholeTable" dxfId="27"/>
      <tableStyleElement type="headerRow" dxfId="26"/>
    </tableStyle>
    <tableStyle name="Tablo Stili 1 2 2" pivot="0" count="2" xr9:uid="{3427983F-AA3F-4329-97DB-BEA835C8F8D0}">
      <tableStyleElement type="wholeTable" dxfId="25"/>
      <tableStyleElement type="headerRow" dxfId="24"/>
    </tableStyle>
  </tableStyles>
  <colors>
    <mruColors>
      <color rgb="FF333F50"/>
      <color rgb="FF485870"/>
      <color rgb="FFE74C3C"/>
      <color rgb="FF27AE60"/>
      <color rgb="FFF1C40F"/>
      <color rgb="FF384F66"/>
      <color rgb="FF000099"/>
      <color rgb="FF212E3B"/>
      <color rgb="FF1B2631"/>
    </mruColors>
  </colors>
  <extLst>
    <ext xmlns:x14="http://schemas.microsoft.com/office/spreadsheetml/2009/9/main" uri="{46F421CA-312F-682f-3DD2-61675219B42D}">
      <x14:dxfs count="8">
        <dxf>
          <font>
            <color theme="0"/>
          </font>
        </dxf>
        <dxf>
          <font>
            <color theme="0"/>
          </font>
        </dxf>
        <dxf>
          <font>
            <color theme="0"/>
          </font>
        </dxf>
        <dxf>
          <font>
            <color theme="0"/>
          </font>
        </dxf>
        <dxf>
          <font>
            <color rgb="FF27AE60"/>
          </font>
        </dxf>
        <dxf>
          <font>
            <color rgb="FF27AE60"/>
          </font>
        </dxf>
        <dxf>
          <font>
            <color rgb="FFE74C3C"/>
          </font>
        </dxf>
        <dxf>
          <font>
            <color rgb="FFE74C3C"/>
          </font>
        </dxf>
      </x14:dxfs>
    </ext>
    <ext xmlns:x14="http://schemas.microsoft.com/office/spreadsheetml/2009/9/main" uri="{EB79DEF2-80B8-43e5-95BD-54CBDDF9020C}">
      <x14:slicerStyles defaultSlicerStyle="SlicerStyleLight1">
        <x14:slicerStyle name="Dilimleyici Stili 1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3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[Financial_Management_System.xlsm]calculation!PivotTable2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tr-TR">
                <a:solidFill>
                  <a:schemeClr val="bg1"/>
                </a:solidFill>
              </a:rPr>
              <a:t>Expenses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j-lt"/>
                  <a:ea typeface="+mn-ea"/>
                  <a:cs typeface="+mn-cs"/>
                </a:defRPr>
              </a:pPr>
              <a:endParaRPr lang="tr-T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calculation!$Z$3</c:f>
              <c:strCache>
                <c:ptCount val="1"/>
                <c:pt idx="0">
                  <c:v>Toplam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B8B-46CB-B11B-804ED131A4A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B8B-46CB-B11B-804ED131A4A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1B8B-46CB-B11B-804ED131A4A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1B8B-46CB-B11B-804ED131A4A0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1B8B-46CB-B11B-804ED131A4A0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1B8B-46CB-B11B-804ED131A4A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bg1"/>
                    </a:solidFill>
                    <a:latin typeface="+mj-lt"/>
                    <a:ea typeface="+mn-ea"/>
                    <a:cs typeface="+mn-cs"/>
                  </a:defRPr>
                </a:pPr>
                <a:endParaRPr lang="tr-T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calculation!$Y$4:$Y$10</c:f>
              <c:strCache>
                <c:ptCount val="6"/>
                <c:pt idx="0">
                  <c:v>Clothing</c:v>
                </c:pt>
                <c:pt idx="1">
                  <c:v>Health</c:v>
                </c:pt>
                <c:pt idx="2">
                  <c:v>Holiday</c:v>
                </c:pt>
                <c:pt idx="3">
                  <c:v>Housing</c:v>
                </c:pt>
                <c:pt idx="4">
                  <c:v>Rent</c:v>
                </c:pt>
                <c:pt idx="5">
                  <c:v>Taxes</c:v>
                </c:pt>
              </c:strCache>
            </c:strRef>
          </c:cat>
          <c:val>
            <c:numRef>
              <c:f>calculation!$Z$4:$Z$10</c:f>
              <c:numCache>
                <c:formatCode>General</c:formatCode>
                <c:ptCount val="6"/>
                <c:pt idx="0">
                  <c:v>1650</c:v>
                </c:pt>
                <c:pt idx="1">
                  <c:v>1250</c:v>
                </c:pt>
                <c:pt idx="2">
                  <c:v>2500</c:v>
                </c:pt>
                <c:pt idx="3">
                  <c:v>2500</c:v>
                </c:pt>
                <c:pt idx="4">
                  <c:v>850</c:v>
                </c:pt>
                <c:pt idx="5">
                  <c:v>750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9C86-4103-880F-A913077BFF2F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64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bg1"/>
              </a:solidFill>
              <a:latin typeface="+mj-lt"/>
              <a:ea typeface="+mn-ea"/>
              <a:cs typeface="+mn-cs"/>
            </a:defRPr>
          </a:pPr>
          <a:endParaRPr lang="tr-T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333F50">
        <a:alpha val="50000"/>
      </a:srgbClr>
    </a:solidFill>
    <a:ln w="9525" cap="flat" cmpd="sng" algn="ctr">
      <a:noFill/>
      <a:round/>
    </a:ln>
    <a:effectLst>
      <a:softEdge rad="76200"/>
    </a:effectLst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[Financial_Management_System.xlsm]calculation!PivotTable1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tr-TR">
                <a:solidFill>
                  <a:schemeClr val="bg1"/>
                </a:solidFill>
              </a:rPr>
              <a:t>Investments</a:t>
            </a:r>
            <a:endParaRPr lang="en-US">
              <a:solidFill>
                <a:schemeClr val="bg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j-lt"/>
                  <a:ea typeface="+mn-ea"/>
                  <a:cs typeface="+mn-cs"/>
                </a:defRPr>
              </a:pPr>
              <a:endParaRPr lang="tr-T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1C40F"/>
          </a:solidFill>
          <a:ln>
            <a:noFill/>
          </a:ln>
          <a:effectLst/>
        </c:spPr>
      </c:pivotFmt>
      <c:pivotFmt>
        <c:idx val="3"/>
        <c:spPr>
          <a:solidFill>
            <a:srgbClr val="F1C40F"/>
          </a:solidFill>
          <a:ln>
            <a:noFill/>
          </a:ln>
          <a:effectLst/>
        </c:spPr>
      </c:pivotFmt>
      <c:pivotFmt>
        <c:idx val="4"/>
        <c:spPr>
          <a:solidFill>
            <a:srgbClr val="F1C40F"/>
          </a:solidFill>
          <a:ln>
            <a:noFill/>
          </a:ln>
          <a:effectLst/>
        </c:spPr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calculation!$S$2</c:f>
              <c:strCache>
                <c:ptCount val="1"/>
                <c:pt idx="0">
                  <c:v>Toplam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1C40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E04-47A4-A055-122FF24041EC}"/>
              </c:ext>
            </c:extLst>
          </c:dPt>
          <c:dPt>
            <c:idx val="1"/>
            <c:invertIfNegative val="0"/>
            <c:bubble3D val="0"/>
            <c:spPr>
              <a:solidFill>
                <a:srgbClr val="F1C40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3E04-47A4-A055-122FF24041EC}"/>
              </c:ext>
            </c:extLst>
          </c:dPt>
          <c:dPt>
            <c:idx val="2"/>
            <c:invertIfNegative val="0"/>
            <c:bubble3D val="0"/>
            <c:spPr>
              <a:solidFill>
                <a:srgbClr val="F1C40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E04-47A4-A055-122FF24041E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+mj-lt"/>
                    <a:ea typeface="+mn-ea"/>
                    <a:cs typeface="+mn-cs"/>
                  </a:defRPr>
                </a:pPr>
                <a:endParaRPr lang="tr-T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calculation!$R$3:$R$7</c:f>
              <c:strCache>
                <c:ptCount val="4"/>
                <c:pt idx="0">
                  <c:v>Exchange</c:v>
                </c:pt>
                <c:pt idx="1">
                  <c:v>Gold</c:v>
                </c:pt>
                <c:pt idx="2">
                  <c:v>Silver</c:v>
                </c:pt>
                <c:pt idx="3">
                  <c:v>copper</c:v>
                </c:pt>
              </c:strCache>
            </c:strRef>
          </c:cat>
          <c:val>
            <c:numRef>
              <c:f>calculation!$S$3:$S$7</c:f>
              <c:numCache>
                <c:formatCode>\$* #,##0.00</c:formatCode>
                <c:ptCount val="4"/>
                <c:pt idx="0">
                  <c:v>33125</c:v>
                </c:pt>
                <c:pt idx="1">
                  <c:v>136350</c:v>
                </c:pt>
                <c:pt idx="2">
                  <c:v>59800</c:v>
                </c:pt>
                <c:pt idx="3">
                  <c:v>15000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E04-47A4-A055-122FF24041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197273871"/>
        <c:axId val="1197279631"/>
      </c:barChart>
      <c:catAx>
        <c:axId val="11972738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bg1"/>
                </a:solidFill>
                <a:latin typeface="+mj-lt"/>
                <a:ea typeface="+mn-ea"/>
                <a:cs typeface="+mn-cs"/>
              </a:defRPr>
            </a:pPr>
            <a:endParaRPr lang="tr-TR"/>
          </a:p>
        </c:txPr>
        <c:crossAx val="1197279631"/>
        <c:crosses val="autoZero"/>
        <c:auto val="1"/>
        <c:lblAlgn val="ctr"/>
        <c:lblOffset val="100"/>
        <c:noMultiLvlLbl val="0"/>
      </c:catAx>
      <c:valAx>
        <c:axId val="1197279631"/>
        <c:scaling>
          <c:orientation val="minMax"/>
        </c:scaling>
        <c:delete val="1"/>
        <c:axPos val="l"/>
        <c:numFmt formatCode="\$* #,##0.00" sourceLinked="1"/>
        <c:majorTickMark val="none"/>
        <c:minorTickMark val="none"/>
        <c:tickLblPos val="nextTo"/>
        <c:crossAx val="1197273871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333F50">
        <a:alpha val="50000"/>
      </a:srgbClr>
    </a:solidFill>
    <a:ln w="9525" cap="flat" cmpd="sng" algn="ctr">
      <a:noFill/>
      <a:round/>
    </a:ln>
    <a:effectLst>
      <a:softEdge rad="88900"/>
    </a:effectLst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svg"/><Relationship Id="rId3" Type="http://schemas.openxmlformats.org/officeDocument/2006/relationships/image" Target="../media/image1.png"/><Relationship Id="rId7" Type="http://schemas.openxmlformats.org/officeDocument/2006/relationships/image" Target="../media/image5.png"/><Relationship Id="rId12" Type="http://schemas.openxmlformats.org/officeDocument/2006/relationships/image" Target="../media/image10.sv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image" Target="../media/image4.svg"/><Relationship Id="rId11" Type="http://schemas.openxmlformats.org/officeDocument/2006/relationships/image" Target="../media/image9.png"/><Relationship Id="rId5" Type="http://schemas.openxmlformats.org/officeDocument/2006/relationships/image" Target="../media/image3.png"/><Relationship Id="rId10" Type="http://schemas.openxmlformats.org/officeDocument/2006/relationships/image" Target="../media/image8.svg"/><Relationship Id="rId4" Type="http://schemas.openxmlformats.org/officeDocument/2006/relationships/image" Target="../media/image2.svg"/><Relationship Id="rId9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8</xdr:row>
      <xdr:rowOff>134813</xdr:rowOff>
    </xdr:from>
    <xdr:to>
      <xdr:col>10</xdr:col>
      <xdr:colOff>352425</xdr:colOff>
      <xdr:row>30</xdr:row>
      <xdr:rowOff>161925</xdr:rowOff>
    </xdr:to>
    <xdr:graphicFrame macro="">
      <xdr:nvGraphicFramePr>
        <xdr:cNvPr id="19" name="Grafik 2">
          <a:extLst>
            <a:ext uri="{FF2B5EF4-FFF2-40B4-BE49-F238E27FC236}">
              <a16:creationId xmlns:a16="http://schemas.microsoft.com/office/drawing/2014/main" id="{51726844-0EE8-BDC4-DDAA-C677226A498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323850</xdr:colOff>
      <xdr:row>8</xdr:row>
      <xdr:rowOff>134814</xdr:rowOff>
    </xdr:from>
    <xdr:to>
      <xdr:col>19</xdr:col>
      <xdr:colOff>542925</xdr:colOff>
      <xdr:row>30</xdr:row>
      <xdr:rowOff>133349</xdr:rowOff>
    </xdr:to>
    <xdr:graphicFrame macro="">
      <xdr:nvGraphicFramePr>
        <xdr:cNvPr id="20" name="Grafik 3">
          <a:extLst>
            <a:ext uri="{FF2B5EF4-FFF2-40B4-BE49-F238E27FC236}">
              <a16:creationId xmlns:a16="http://schemas.microsoft.com/office/drawing/2014/main" id="{C2D7261A-0A87-66D1-7698-970CF09D1FA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19</xdr:col>
      <xdr:colOff>563217</xdr:colOff>
      <xdr:row>9</xdr:row>
      <xdr:rowOff>74544</xdr:rowOff>
    </xdr:from>
    <xdr:to>
      <xdr:col>23</xdr:col>
      <xdr:colOff>447261</xdr:colOff>
      <xdr:row>18</xdr:row>
      <xdr:rowOff>124239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2" name="Payment Method">
              <a:extLst>
                <a:ext uri="{FF2B5EF4-FFF2-40B4-BE49-F238E27FC236}">
                  <a16:creationId xmlns:a16="http://schemas.microsoft.com/office/drawing/2014/main" id="{4A553DEF-6B75-442E-89E5-885F8741EA7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ayment Method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208565" y="1789044"/>
              <a:ext cx="2335696" cy="394252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tr-TR" sz="1100"/>
                <a:t>Bu şekil bir dilimleyiciyi gösterir. Dilimleyiciler Excel 2010 ve sonraki sürümlerde desteklenir.
Şekil daha önceki bir Excel sürümünde değiştirildiyse veya çalışma kitabı Excel 2003 veya önceki sürümünde kaydedildiyse, dilimleyici kullanılamaz.</a:t>
              </a:r>
            </a:p>
          </xdr:txBody>
        </xdr:sp>
      </mc:Fallback>
    </mc:AlternateContent>
    <xdr:clientData/>
  </xdr:twoCellAnchor>
  <xdr:twoCellAnchor>
    <xdr:from>
      <xdr:col>0</xdr:col>
      <xdr:colOff>76200</xdr:colOff>
      <xdr:row>0</xdr:row>
      <xdr:rowOff>0</xdr:rowOff>
    </xdr:from>
    <xdr:to>
      <xdr:col>23</xdr:col>
      <xdr:colOff>514350</xdr:colOff>
      <xdr:row>8</xdr:row>
      <xdr:rowOff>76200</xdr:rowOff>
    </xdr:to>
    <xdr:grpSp>
      <xdr:nvGrpSpPr>
        <xdr:cNvPr id="39" name="Grup 38">
          <a:extLst>
            <a:ext uri="{FF2B5EF4-FFF2-40B4-BE49-F238E27FC236}">
              <a16:creationId xmlns:a16="http://schemas.microsoft.com/office/drawing/2014/main" id="{B963A4CD-2DC6-72ED-0AD2-456A9AB818DC}"/>
            </a:ext>
          </a:extLst>
        </xdr:cNvPr>
        <xdr:cNvGrpSpPr/>
      </xdr:nvGrpSpPr>
      <xdr:grpSpPr>
        <a:xfrm>
          <a:off x="76200" y="0"/>
          <a:ext cx="14535150" cy="1600200"/>
          <a:chOff x="76200" y="0"/>
          <a:chExt cx="14535150" cy="1600200"/>
        </a:xfrm>
      </xdr:grpSpPr>
      <xdr:grpSp>
        <xdr:nvGrpSpPr>
          <xdr:cNvPr id="34" name="Grup 33">
            <a:extLst>
              <a:ext uri="{FF2B5EF4-FFF2-40B4-BE49-F238E27FC236}">
                <a16:creationId xmlns:a16="http://schemas.microsoft.com/office/drawing/2014/main" id="{58944978-4326-31B9-2AFA-0AD383BC042A}"/>
              </a:ext>
            </a:extLst>
          </xdr:cNvPr>
          <xdr:cNvGrpSpPr/>
        </xdr:nvGrpSpPr>
        <xdr:grpSpPr>
          <a:xfrm>
            <a:off x="76200" y="19050"/>
            <a:ext cx="2805533" cy="1581150"/>
            <a:chOff x="76200" y="19050"/>
            <a:chExt cx="2805533" cy="1581150"/>
          </a:xfrm>
        </xdr:grpSpPr>
        <xdr:sp macro="" textlink="calculation!U4">
          <xdr:nvSpPr>
            <xdr:cNvPr id="2" name="Dikdörtgen: Köşeleri Yuvarlatılmış 1">
              <a:extLst>
                <a:ext uri="{FF2B5EF4-FFF2-40B4-BE49-F238E27FC236}">
                  <a16:creationId xmlns:a16="http://schemas.microsoft.com/office/drawing/2014/main" id="{3014BABF-A5AB-6A40-EF9B-6E09F556AA14}"/>
                </a:ext>
              </a:extLst>
            </xdr:cNvPr>
            <xdr:cNvSpPr/>
          </xdr:nvSpPr>
          <xdr:spPr>
            <a:xfrm>
              <a:off x="76200" y="19050"/>
              <a:ext cx="2805533" cy="1581150"/>
            </a:xfrm>
            <a:prstGeom prst="roundRect">
              <a:avLst/>
            </a:prstGeom>
            <a:solidFill>
              <a:schemeClr val="tx2">
                <a:lumMod val="75000"/>
              </a:schemeClr>
            </a:solidFill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fld id="{AECBD18A-8E0A-4B23-A1D3-1D62FBE7A753}" type="TxLink">
                <a:rPr lang="en-US" sz="2800" b="0" i="0" u="none" strike="noStrike">
                  <a:solidFill>
                    <a:schemeClr val="bg1"/>
                  </a:solidFill>
                  <a:latin typeface="+mj-lt"/>
                  <a:ea typeface="Calibri"/>
                  <a:cs typeface="Calibri"/>
                </a:rPr>
                <a:pPr marL="0" indent="0" algn="r"/>
                <a:t>$28.000,00</a:t>
              </a:fld>
              <a:endParaRPr lang="en-US" sz="2800" b="0" i="0" u="none" strike="noStrike">
                <a:solidFill>
                  <a:schemeClr val="bg1"/>
                </a:solidFill>
                <a:latin typeface="+mj-lt"/>
                <a:ea typeface="Calibri"/>
                <a:cs typeface="Calibri"/>
              </a:endParaRPr>
            </a:p>
          </xdr:txBody>
        </xdr:sp>
        <xdr:sp macro="" textlink="">
          <xdr:nvSpPr>
            <xdr:cNvPr id="7" name="Metin kutusu 6">
              <a:extLst>
                <a:ext uri="{FF2B5EF4-FFF2-40B4-BE49-F238E27FC236}">
                  <a16:creationId xmlns:a16="http://schemas.microsoft.com/office/drawing/2014/main" id="{CD51C0DE-192E-7814-2BC2-5F47BE799443}"/>
                </a:ext>
              </a:extLst>
            </xdr:cNvPr>
            <xdr:cNvSpPr txBox="1"/>
          </xdr:nvSpPr>
          <xdr:spPr>
            <a:xfrm>
              <a:off x="76200" y="342900"/>
              <a:ext cx="2082639" cy="46801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tr-TR" sz="2400">
                  <a:solidFill>
                    <a:schemeClr val="bg1"/>
                  </a:solidFill>
                  <a:latin typeface="+mj-lt"/>
                </a:rPr>
                <a:t>Total Revenues</a:t>
              </a:r>
            </a:p>
          </xdr:txBody>
        </xdr:sp>
        <xdr:pic>
          <xdr:nvPicPr>
            <xdr:cNvPr id="24" name="Grafik 23" descr="Para düz dolguyla">
              <a:extLst>
                <a:ext uri="{FF2B5EF4-FFF2-40B4-BE49-F238E27FC236}">
                  <a16:creationId xmlns:a16="http://schemas.microsoft.com/office/drawing/2014/main" id="{ABFD2492-720B-BF45-9C63-7174A2246E97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96DAC541-7B7A-43D3-8B79-37D633B846F1}">
                  <asvg:svgBlip xmlns:asvg="http://schemas.microsoft.com/office/drawing/2016/SVG/main" r:embed="rId4"/>
                </a:ext>
              </a:extLst>
            </a:blip>
            <a:stretch>
              <a:fillRect/>
            </a:stretch>
          </xdr:blipFill>
          <xdr:spPr>
            <a:xfrm>
              <a:off x="2087217" y="140804"/>
              <a:ext cx="740466" cy="740466"/>
            </a:xfrm>
            <a:prstGeom prst="rect">
              <a:avLst/>
            </a:prstGeom>
          </xdr:spPr>
        </xdr:pic>
      </xdr:grpSp>
      <xdr:grpSp>
        <xdr:nvGrpSpPr>
          <xdr:cNvPr id="35" name="Grup 34">
            <a:extLst>
              <a:ext uri="{FF2B5EF4-FFF2-40B4-BE49-F238E27FC236}">
                <a16:creationId xmlns:a16="http://schemas.microsoft.com/office/drawing/2014/main" id="{B3040D34-3BCC-9D7C-6480-FA0B5500742E}"/>
              </a:ext>
            </a:extLst>
          </xdr:cNvPr>
          <xdr:cNvGrpSpPr/>
        </xdr:nvGrpSpPr>
        <xdr:grpSpPr>
          <a:xfrm>
            <a:off x="3008604" y="19050"/>
            <a:ext cx="2805533" cy="1581150"/>
            <a:chOff x="3008604" y="19050"/>
            <a:chExt cx="2805533" cy="1581150"/>
          </a:xfrm>
        </xdr:grpSpPr>
        <xdr:sp macro="" textlink="calculation!U10">
          <xdr:nvSpPr>
            <xdr:cNvPr id="3" name="Dikdörtgen: Köşeleri Yuvarlatılmış 2">
              <a:extLst>
                <a:ext uri="{FF2B5EF4-FFF2-40B4-BE49-F238E27FC236}">
                  <a16:creationId xmlns:a16="http://schemas.microsoft.com/office/drawing/2014/main" id="{064B5BD7-4B55-4E16-AD0A-63C0B59EC0FC}"/>
                </a:ext>
              </a:extLst>
            </xdr:cNvPr>
            <xdr:cNvSpPr/>
          </xdr:nvSpPr>
          <xdr:spPr>
            <a:xfrm>
              <a:off x="3008604" y="19050"/>
              <a:ext cx="2805533" cy="1581150"/>
            </a:xfrm>
            <a:prstGeom prst="roundRect">
              <a:avLst/>
            </a:prstGeom>
            <a:solidFill>
              <a:schemeClr val="tx2">
                <a:lumMod val="75000"/>
              </a:schemeClr>
            </a:solidFill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fld id="{29AB877B-5179-4BBE-8C46-7BD688763717}" type="TxLink">
                <a:rPr lang="en-US" sz="2800" b="0" i="0" u="none" strike="noStrike">
                  <a:solidFill>
                    <a:schemeClr val="bg1"/>
                  </a:solidFill>
                  <a:latin typeface="+mj-lt"/>
                  <a:ea typeface="Calibri"/>
                  <a:cs typeface="Calibri"/>
                </a:rPr>
                <a:pPr marL="0" indent="0" algn="r"/>
                <a:t>$9.500,00</a:t>
              </a:fld>
              <a:endParaRPr lang="tr-TR" sz="2800" b="0" i="0" u="none" strike="noStrike">
                <a:solidFill>
                  <a:schemeClr val="bg1"/>
                </a:solidFill>
                <a:latin typeface="+mj-lt"/>
                <a:ea typeface="Calibri"/>
                <a:cs typeface="Calibri"/>
              </a:endParaRPr>
            </a:p>
          </xdr:txBody>
        </xdr:sp>
        <xdr:sp macro="" textlink="">
          <xdr:nvSpPr>
            <xdr:cNvPr id="9" name="Metin kutusu 8">
              <a:extLst>
                <a:ext uri="{FF2B5EF4-FFF2-40B4-BE49-F238E27FC236}">
                  <a16:creationId xmlns:a16="http://schemas.microsoft.com/office/drawing/2014/main" id="{5A90195E-9CBB-4683-8646-06C2C8DC6842}"/>
                </a:ext>
              </a:extLst>
            </xdr:cNvPr>
            <xdr:cNvSpPr txBox="1"/>
          </xdr:nvSpPr>
          <xdr:spPr>
            <a:xfrm>
              <a:off x="3034936" y="342900"/>
              <a:ext cx="2082639" cy="46801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pPr marL="0" indent="0"/>
              <a:r>
                <a:rPr lang="tr-TR" sz="2400">
                  <a:solidFill>
                    <a:schemeClr val="bg1"/>
                  </a:solidFill>
                  <a:latin typeface="+mj-lt"/>
                  <a:ea typeface="+mn-ea"/>
                  <a:cs typeface="+mn-cs"/>
                </a:rPr>
                <a:t>Total Expenses </a:t>
              </a:r>
            </a:p>
          </xdr:txBody>
        </xdr:sp>
        <xdr:pic>
          <xdr:nvPicPr>
            <xdr:cNvPr id="26" name="Grafik 25" descr="Madeni paralar düz dolguyla">
              <a:extLst>
                <a:ext uri="{FF2B5EF4-FFF2-40B4-BE49-F238E27FC236}">
                  <a16:creationId xmlns:a16="http://schemas.microsoft.com/office/drawing/2014/main" id="{95DF2311-356E-B690-B7EC-DDA0108B2F74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>
              <a:extLst>
                <a:ext uri="{96DAC541-7B7A-43D3-8B79-37D633B846F1}">
                  <asvg:svgBlip xmlns:asvg="http://schemas.microsoft.com/office/drawing/2016/SVG/main" r:embed="rId6"/>
                </a:ext>
              </a:extLst>
            </a:blip>
            <a:stretch>
              <a:fillRect/>
            </a:stretch>
          </xdr:blipFill>
          <xdr:spPr>
            <a:xfrm>
              <a:off x="4944718" y="231913"/>
              <a:ext cx="773596" cy="773596"/>
            </a:xfrm>
            <a:prstGeom prst="rect">
              <a:avLst/>
            </a:prstGeom>
          </xdr:spPr>
        </xdr:pic>
      </xdr:grpSp>
      <xdr:grpSp>
        <xdr:nvGrpSpPr>
          <xdr:cNvPr id="36" name="Grup 35">
            <a:extLst>
              <a:ext uri="{FF2B5EF4-FFF2-40B4-BE49-F238E27FC236}">
                <a16:creationId xmlns:a16="http://schemas.microsoft.com/office/drawing/2014/main" id="{51BA8AB9-CEE7-1B05-78A6-79619BB56BE6}"/>
              </a:ext>
            </a:extLst>
          </xdr:cNvPr>
          <xdr:cNvGrpSpPr/>
        </xdr:nvGrpSpPr>
        <xdr:grpSpPr>
          <a:xfrm>
            <a:off x="5941008" y="19050"/>
            <a:ext cx="2805533" cy="1581150"/>
            <a:chOff x="5941008" y="19050"/>
            <a:chExt cx="2805533" cy="1581150"/>
          </a:xfrm>
        </xdr:grpSpPr>
        <xdr:sp macro="" textlink="calculation!B3">
          <xdr:nvSpPr>
            <xdr:cNvPr id="4" name="Dikdörtgen: Köşeleri Yuvarlatılmış 3">
              <a:extLst>
                <a:ext uri="{FF2B5EF4-FFF2-40B4-BE49-F238E27FC236}">
                  <a16:creationId xmlns:a16="http://schemas.microsoft.com/office/drawing/2014/main" id="{014E81C4-3E5A-4729-B72C-3B88545F916A}"/>
                </a:ext>
              </a:extLst>
            </xdr:cNvPr>
            <xdr:cNvSpPr/>
          </xdr:nvSpPr>
          <xdr:spPr>
            <a:xfrm>
              <a:off x="5941008" y="19050"/>
              <a:ext cx="2805533" cy="1581150"/>
            </a:xfrm>
            <a:prstGeom prst="roundRect">
              <a:avLst/>
            </a:prstGeom>
            <a:solidFill>
              <a:schemeClr val="tx2">
                <a:lumMod val="75000"/>
              </a:schemeClr>
            </a:solidFill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fld id="{F8C5C444-C92F-40A9-BD17-33826A2CB6CD}" type="TxLink">
                <a:rPr lang="en-US" sz="2800" b="0" i="0" u="none" strike="noStrike">
                  <a:solidFill>
                    <a:schemeClr val="bg1"/>
                  </a:solidFill>
                  <a:latin typeface="+mj-lt"/>
                  <a:ea typeface="Calibri"/>
                  <a:cs typeface="Calibri"/>
                </a:rPr>
                <a:pPr algn="r"/>
                <a:t>$18.500,00</a:t>
              </a:fld>
              <a:endParaRPr lang="tr-TR" sz="2800">
                <a:solidFill>
                  <a:schemeClr val="bg1"/>
                </a:solidFill>
                <a:latin typeface="+mj-lt"/>
              </a:endParaRPr>
            </a:p>
          </xdr:txBody>
        </xdr:sp>
        <xdr:sp macro="" textlink="">
          <xdr:nvSpPr>
            <xdr:cNvPr id="10" name="Metin kutusu 9">
              <a:extLst>
                <a:ext uri="{FF2B5EF4-FFF2-40B4-BE49-F238E27FC236}">
                  <a16:creationId xmlns:a16="http://schemas.microsoft.com/office/drawing/2014/main" id="{92103311-E8DE-45F0-961D-497FC1638E0E}"/>
                </a:ext>
              </a:extLst>
            </xdr:cNvPr>
            <xdr:cNvSpPr txBox="1"/>
          </xdr:nvSpPr>
          <xdr:spPr>
            <a:xfrm>
              <a:off x="6137300" y="342900"/>
              <a:ext cx="1238625" cy="46801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tr-TR" sz="2400">
                  <a:solidFill>
                    <a:schemeClr val="bg1"/>
                  </a:solidFill>
                  <a:latin typeface="+mj-lt"/>
                  <a:ea typeface="+mn-ea"/>
                  <a:cs typeface="+mn-cs"/>
                </a:rPr>
                <a:t>Balance</a:t>
              </a:r>
              <a:r>
                <a:rPr lang="tr-TR" sz="2400"/>
                <a:t> </a:t>
              </a:r>
              <a:endParaRPr lang="tr-TR" sz="2400">
                <a:solidFill>
                  <a:schemeClr val="bg1"/>
                </a:solidFill>
                <a:latin typeface="+mj-lt"/>
              </a:endParaRPr>
            </a:p>
          </xdr:txBody>
        </xdr:sp>
        <xdr:pic>
          <xdr:nvPicPr>
            <xdr:cNvPr id="28" name="Grafik 27" descr="Kumbara düz dolguyla">
              <a:extLst>
                <a:ext uri="{FF2B5EF4-FFF2-40B4-BE49-F238E27FC236}">
                  <a16:creationId xmlns:a16="http://schemas.microsoft.com/office/drawing/2014/main" id="{91F4C023-710A-F378-BB93-64107AFBFD54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7">
              <a:extLst>
                <a:ext uri="{96DAC541-7B7A-43D3-8B79-37D633B846F1}">
                  <asvg:svgBlip xmlns:asvg="http://schemas.microsoft.com/office/drawing/2016/SVG/main" r:embed="rId8"/>
                </a:ext>
              </a:extLst>
            </a:blip>
            <a:stretch>
              <a:fillRect/>
            </a:stretch>
          </xdr:blipFill>
          <xdr:spPr>
            <a:xfrm>
              <a:off x="7686260" y="124240"/>
              <a:ext cx="914400" cy="914400"/>
            </a:xfrm>
            <a:prstGeom prst="rect">
              <a:avLst/>
            </a:prstGeom>
          </xdr:spPr>
        </xdr:pic>
      </xdr:grpSp>
      <xdr:grpSp>
        <xdr:nvGrpSpPr>
          <xdr:cNvPr id="38" name="Grup 37">
            <a:extLst>
              <a:ext uri="{FF2B5EF4-FFF2-40B4-BE49-F238E27FC236}">
                <a16:creationId xmlns:a16="http://schemas.microsoft.com/office/drawing/2014/main" id="{F2D03E97-1278-5649-A030-CA89E16BD20C}"/>
              </a:ext>
            </a:extLst>
          </xdr:cNvPr>
          <xdr:cNvGrpSpPr/>
        </xdr:nvGrpSpPr>
        <xdr:grpSpPr>
          <a:xfrm>
            <a:off x="11805817" y="0"/>
            <a:ext cx="2805533" cy="1581150"/>
            <a:chOff x="11805817" y="0"/>
            <a:chExt cx="2805533" cy="1581150"/>
          </a:xfrm>
        </xdr:grpSpPr>
        <xdr:sp macro="" textlink="calculation!B5">
          <xdr:nvSpPr>
            <xdr:cNvPr id="6" name="Dikdörtgen: Köşeleri Yuvarlatılmış 5">
              <a:extLst>
                <a:ext uri="{FF2B5EF4-FFF2-40B4-BE49-F238E27FC236}">
                  <a16:creationId xmlns:a16="http://schemas.microsoft.com/office/drawing/2014/main" id="{2842808B-EE77-4C63-B739-7962C4957B7F}"/>
                </a:ext>
              </a:extLst>
            </xdr:cNvPr>
            <xdr:cNvSpPr/>
          </xdr:nvSpPr>
          <xdr:spPr>
            <a:xfrm>
              <a:off x="11805817" y="0"/>
              <a:ext cx="2805533" cy="1581150"/>
            </a:xfrm>
            <a:prstGeom prst="roundRect">
              <a:avLst/>
            </a:prstGeom>
            <a:solidFill>
              <a:schemeClr val="tx2">
                <a:lumMod val="75000"/>
              </a:schemeClr>
            </a:solidFill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Overflow="clip" horzOverflow="clip" vert="horz" wrap="square" lIns="91440" tIns="45720" rIns="91440" bIns="45720" numCol="1" spcCol="0" rtlCol="0" fromWordArt="0" anchor="b" anchorCtr="0" forceAA="0" compatLnSpc="1">
              <a:prstTxWarp prst="textNoShape">
                <a:avLst/>
              </a:prstTxWarp>
              <a:noAutofit/>
            </a:bodyPr>
            <a:lstStyle/>
            <a:p>
              <a:pPr marL="0" indent="0" algn="r"/>
              <a:fld id="{1687D8CC-B537-4495-ACA0-659ADA6C6AF4}" type="TxLink">
                <a:rPr lang="en-US" sz="2800" b="0" i="0" u="none" strike="noStrike">
                  <a:solidFill>
                    <a:schemeClr val="bg1"/>
                  </a:solidFill>
                  <a:latin typeface="+mj-lt"/>
                  <a:ea typeface="Calibri"/>
                  <a:cs typeface="Calibri"/>
                </a:rPr>
                <a:pPr marL="0" indent="0" algn="r"/>
                <a:t>$36.125,00</a:t>
              </a:fld>
              <a:endParaRPr lang="tr-TR" sz="2800" b="0" i="0" u="none" strike="noStrike">
                <a:solidFill>
                  <a:schemeClr val="bg1"/>
                </a:solidFill>
                <a:latin typeface="+mj-lt"/>
                <a:ea typeface="Calibri"/>
                <a:cs typeface="Calibri"/>
              </a:endParaRPr>
            </a:p>
          </xdr:txBody>
        </xdr:sp>
        <xdr:sp macro="" textlink="">
          <xdr:nvSpPr>
            <xdr:cNvPr id="12" name="Metin kutusu 11">
              <a:extLst>
                <a:ext uri="{FF2B5EF4-FFF2-40B4-BE49-F238E27FC236}">
                  <a16:creationId xmlns:a16="http://schemas.microsoft.com/office/drawing/2014/main" id="{40DD0F3A-B93D-4786-84DA-011E458D6200}"/>
                </a:ext>
              </a:extLst>
            </xdr:cNvPr>
            <xdr:cNvSpPr txBox="1"/>
          </xdr:nvSpPr>
          <xdr:spPr>
            <a:xfrm>
              <a:off x="11805817" y="342900"/>
              <a:ext cx="1610227" cy="46801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tr-TR" sz="2400" b="0" i="0" u="none" strike="noStrike">
                  <a:solidFill>
                    <a:schemeClr val="bg1"/>
                  </a:solidFill>
                  <a:effectLst/>
                  <a:latin typeface="Calibri" panose="020F0502020204030204" pitchFamily="34" charset="0"/>
                </a:rPr>
                <a:t>Profit/Loss</a:t>
              </a:r>
              <a:r>
                <a:rPr lang="tr-TR" sz="2400">
                  <a:solidFill>
                    <a:schemeClr val="bg1"/>
                  </a:solidFill>
                </a:rPr>
                <a:t> </a:t>
              </a:r>
              <a:endParaRPr lang="tr-TR" sz="2400">
                <a:solidFill>
                  <a:schemeClr val="bg1"/>
                </a:solidFill>
                <a:latin typeface="+mj-lt"/>
              </a:endParaRPr>
            </a:p>
          </xdr:txBody>
        </xdr:sp>
        <xdr:pic>
          <xdr:nvPicPr>
            <xdr:cNvPr id="30" name="Grafik 29" descr="Yukarı yönlü eğilim düz dolguyla">
              <a:extLst>
                <a:ext uri="{FF2B5EF4-FFF2-40B4-BE49-F238E27FC236}">
                  <a16:creationId xmlns:a16="http://schemas.microsoft.com/office/drawing/2014/main" id="{64A8B3FC-9344-FCAC-6772-5C761B639F7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9">
              <a:extLst>
                <a:ext uri="{96DAC541-7B7A-43D3-8B79-37D633B846F1}">
                  <asvg:svgBlip xmlns:asvg="http://schemas.microsoft.com/office/drawing/2016/SVG/main" r:embed="rId10"/>
                </a:ext>
              </a:extLst>
            </a:blip>
            <a:stretch>
              <a:fillRect/>
            </a:stretch>
          </xdr:blipFill>
          <xdr:spPr>
            <a:xfrm>
              <a:off x="13724283" y="182217"/>
              <a:ext cx="723900" cy="723900"/>
            </a:xfrm>
            <a:prstGeom prst="rect">
              <a:avLst/>
            </a:prstGeom>
          </xdr:spPr>
        </xdr:pic>
      </xdr:grpSp>
      <xdr:grpSp>
        <xdr:nvGrpSpPr>
          <xdr:cNvPr id="37" name="Grup 36">
            <a:extLst>
              <a:ext uri="{FF2B5EF4-FFF2-40B4-BE49-F238E27FC236}">
                <a16:creationId xmlns:a16="http://schemas.microsoft.com/office/drawing/2014/main" id="{C6F93539-20C2-52FE-D01F-EBEBC7666AC0}"/>
              </a:ext>
            </a:extLst>
          </xdr:cNvPr>
          <xdr:cNvGrpSpPr/>
        </xdr:nvGrpSpPr>
        <xdr:grpSpPr>
          <a:xfrm>
            <a:off x="8873412" y="19050"/>
            <a:ext cx="2805533" cy="1581150"/>
            <a:chOff x="8873412" y="19050"/>
            <a:chExt cx="2805533" cy="1581150"/>
          </a:xfrm>
        </xdr:grpSpPr>
        <xdr:sp macro="" textlink="calculation!B4">
          <xdr:nvSpPr>
            <xdr:cNvPr id="5" name="Dikdörtgen: Köşeleri Yuvarlatılmış 4">
              <a:extLst>
                <a:ext uri="{FF2B5EF4-FFF2-40B4-BE49-F238E27FC236}">
                  <a16:creationId xmlns:a16="http://schemas.microsoft.com/office/drawing/2014/main" id="{A7EFC69F-893F-4F39-AD6D-D4123B0F7F0F}"/>
                </a:ext>
              </a:extLst>
            </xdr:cNvPr>
            <xdr:cNvSpPr/>
          </xdr:nvSpPr>
          <xdr:spPr>
            <a:xfrm>
              <a:off x="8873412" y="19050"/>
              <a:ext cx="2805533" cy="1581150"/>
            </a:xfrm>
            <a:prstGeom prst="roundRect">
              <a:avLst/>
            </a:prstGeom>
            <a:solidFill>
              <a:schemeClr val="tx2">
                <a:lumMod val="75000"/>
              </a:schemeClr>
            </a:solidFill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fld id="{54DFA12E-A9E4-446A-838D-9CE3ECC4264F}" type="TxLink">
                <a:rPr lang="en-US" sz="2800" b="0" i="0" u="none" strike="noStrike">
                  <a:solidFill>
                    <a:schemeClr val="bg1"/>
                  </a:solidFill>
                  <a:latin typeface="+mj-lt"/>
                  <a:ea typeface="Calibri"/>
                  <a:cs typeface="Calibri"/>
                </a:rPr>
                <a:pPr algn="r"/>
                <a:t>$176.275,00</a:t>
              </a:fld>
              <a:endParaRPr lang="tr-TR" sz="2800">
                <a:solidFill>
                  <a:schemeClr val="bg1"/>
                </a:solidFill>
                <a:latin typeface="+mj-lt"/>
              </a:endParaRPr>
            </a:p>
          </xdr:txBody>
        </xdr:sp>
        <xdr:sp macro="" textlink="">
          <xdr:nvSpPr>
            <xdr:cNvPr id="11" name="Metin kutusu 10">
              <a:extLst>
                <a:ext uri="{FF2B5EF4-FFF2-40B4-BE49-F238E27FC236}">
                  <a16:creationId xmlns:a16="http://schemas.microsoft.com/office/drawing/2014/main" id="{ED84228D-7617-48B3-9C22-2FC06B9FE678}"/>
                </a:ext>
              </a:extLst>
            </xdr:cNvPr>
            <xdr:cNvSpPr txBox="1"/>
          </xdr:nvSpPr>
          <xdr:spPr>
            <a:xfrm>
              <a:off x="8914108" y="133350"/>
              <a:ext cx="2087393" cy="97155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tr-TR" sz="2400">
                  <a:solidFill>
                    <a:schemeClr val="bg1"/>
                  </a:solidFill>
                  <a:latin typeface="+mj-lt"/>
                  <a:ea typeface="+mn-ea"/>
                  <a:cs typeface="+mn-cs"/>
                </a:rPr>
                <a:t>Investment</a:t>
              </a:r>
              <a:r>
                <a:rPr lang="tr-TR" sz="2400" b="0" i="0" u="none" strike="noStrike">
                  <a:solidFill>
                    <a:schemeClr val="bg1"/>
                  </a:solidFill>
                  <a:effectLst/>
                  <a:latin typeface="Calibri" panose="020F0502020204030204" pitchFamily="34" charset="0"/>
                </a:rPr>
                <a:t> </a:t>
              </a:r>
            </a:p>
            <a:p>
              <a:r>
                <a:rPr lang="tr-TR" sz="2400" b="0" i="0" u="none" strike="noStrike">
                  <a:solidFill>
                    <a:schemeClr val="bg1"/>
                  </a:solidFill>
                  <a:effectLst/>
                  <a:latin typeface="Calibri" panose="020F0502020204030204" pitchFamily="34" charset="0"/>
                </a:rPr>
                <a:t>Portfolio Value</a:t>
              </a:r>
              <a:r>
                <a:rPr lang="tr-TR" sz="2400">
                  <a:solidFill>
                    <a:schemeClr val="bg1"/>
                  </a:solidFill>
                </a:rPr>
                <a:t> </a:t>
              </a:r>
              <a:endParaRPr lang="tr-TR" sz="2400">
                <a:solidFill>
                  <a:schemeClr val="bg1"/>
                </a:solidFill>
                <a:latin typeface="+mj-lt"/>
              </a:endParaRPr>
            </a:p>
          </xdr:txBody>
        </xdr:sp>
        <xdr:pic>
          <xdr:nvPicPr>
            <xdr:cNvPr id="32" name="Grafik 31" descr="Elmas düz dolguyla">
              <a:extLst>
                <a:ext uri="{FF2B5EF4-FFF2-40B4-BE49-F238E27FC236}">
                  <a16:creationId xmlns:a16="http://schemas.microsoft.com/office/drawing/2014/main" id="{673B81CC-9C46-23DF-A7E9-E8614667C1A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1">
              <a:extLst>
                <a:ext uri="{96DAC541-7B7A-43D3-8B79-37D633B846F1}">
                  <asvg:svgBlip xmlns:asvg="http://schemas.microsoft.com/office/drawing/2016/SVG/main" r:embed="rId12"/>
                </a:ext>
              </a:extLst>
            </a:blip>
            <a:stretch>
              <a:fillRect/>
            </a:stretch>
          </xdr:blipFill>
          <xdr:spPr>
            <a:xfrm>
              <a:off x="10883347" y="165651"/>
              <a:ext cx="657640" cy="657640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19</xdr:col>
      <xdr:colOff>554934</xdr:colOff>
      <xdr:row>19</xdr:row>
      <xdr:rowOff>82827</xdr:rowOff>
    </xdr:from>
    <xdr:to>
      <xdr:col>23</xdr:col>
      <xdr:colOff>480391</xdr:colOff>
      <xdr:row>23</xdr:row>
      <xdr:rowOff>165653</xdr:rowOff>
    </xdr:to>
    <xdr:sp macro="[0]!btn_inflow" textlink="">
      <xdr:nvSpPr>
        <xdr:cNvPr id="8" name="Dikdörtgen: Köşeleri Yuvarlatılmış 7">
          <a:extLst>
            <a:ext uri="{FF2B5EF4-FFF2-40B4-BE49-F238E27FC236}">
              <a16:creationId xmlns:a16="http://schemas.microsoft.com/office/drawing/2014/main" id="{38A44E05-ABBD-4BA6-0941-6686EB5F5218}"/>
            </a:ext>
          </a:extLst>
        </xdr:cNvPr>
        <xdr:cNvSpPr/>
      </xdr:nvSpPr>
      <xdr:spPr>
        <a:xfrm>
          <a:off x="12200282" y="3702327"/>
          <a:ext cx="2377109" cy="844826"/>
        </a:xfrm>
        <a:prstGeom prst="roundRect">
          <a:avLst/>
        </a:prstGeom>
        <a:solidFill>
          <a:schemeClr val="tx2">
            <a:lumMod val="75000"/>
          </a:schemeClr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400" b="1">
              <a:latin typeface="+mj-lt"/>
            </a:rPr>
            <a:t>Income, Expenses And Investment Inflow</a:t>
          </a:r>
        </a:p>
      </xdr:txBody>
    </xdr:sp>
    <xdr:clientData/>
  </xdr:twoCellAnchor>
  <xdr:twoCellAnchor>
    <xdr:from>
      <xdr:col>19</xdr:col>
      <xdr:colOff>588065</xdr:colOff>
      <xdr:row>24</xdr:row>
      <xdr:rowOff>107674</xdr:rowOff>
    </xdr:from>
    <xdr:to>
      <xdr:col>23</xdr:col>
      <xdr:colOff>496957</xdr:colOff>
      <xdr:row>28</xdr:row>
      <xdr:rowOff>149087</xdr:rowOff>
    </xdr:to>
    <xdr:sp macro="[0]!btn_PDF_Transfer" textlink="">
      <xdr:nvSpPr>
        <xdr:cNvPr id="13" name="Dikdörtgen: Köşeleri Yuvarlatılmış 12">
          <a:extLst>
            <a:ext uri="{FF2B5EF4-FFF2-40B4-BE49-F238E27FC236}">
              <a16:creationId xmlns:a16="http://schemas.microsoft.com/office/drawing/2014/main" id="{6EF3E08F-46FB-56B0-05DD-4B1E75B44C5D}"/>
            </a:ext>
          </a:extLst>
        </xdr:cNvPr>
        <xdr:cNvSpPr/>
      </xdr:nvSpPr>
      <xdr:spPr>
        <a:xfrm>
          <a:off x="12233413" y="4679674"/>
          <a:ext cx="2360544" cy="803413"/>
        </a:xfrm>
        <a:prstGeom prst="roundRect">
          <a:avLst/>
        </a:prstGeom>
        <a:solidFill>
          <a:schemeClr val="tx2">
            <a:lumMod val="75000"/>
          </a:schemeClr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5">
            <a:shade val="15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400" b="1">
              <a:latin typeface="+mj-lt"/>
            </a:rPr>
            <a:t>PDF Transfer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ercan Ayvaz" refreshedDate="46070.686610532408" createdVersion="8" refreshedVersion="8" minRefreshableVersion="3" recordCount="5" xr:uid="{F7FC465F-158A-449A-A6DB-8DDB6DD05564}">
  <cacheSource type="worksheet">
    <worksheetSource name="tblRevenues"/>
  </cacheSource>
  <cacheFields count="3">
    <cacheField name="Date" numFmtId="14">
      <sharedItems containsDate="1" containsMixedTypes="1" minDate="2023-01-12T00:00:00" maxDate="2023-03-16T00:00:00"/>
    </cacheField>
    <cacheField name="Source" numFmtId="49">
      <sharedItems/>
    </cacheField>
    <cacheField name="Amount" numFmtId="164">
      <sharedItems containsSemiMixedTypes="0" containsString="0" containsNumber="1" containsInteger="1" minValue="2500" maxValue="10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ercan Ayvaz" refreshedDate="46070.686610532408" createdVersion="8" refreshedVersion="8" minRefreshableVersion="3" recordCount="8" xr:uid="{181125AC-98CD-4E8C-B5CB-F2C770EC183D}">
  <cacheSource type="worksheet">
    <worksheetSource name="tblExpenses"/>
  </cacheSource>
  <cacheFields count="6">
    <cacheField name="Date" numFmtId="14">
      <sharedItems containsDate="1" containsMixedTypes="1" minDate="2023-01-10T00:00:00" maxDate="2024-03-19T00:00:00"/>
    </cacheField>
    <cacheField name="Category" numFmtId="49">
      <sharedItems count="7">
        <s v="Housing"/>
        <s v="Taxes"/>
        <s v="Rent"/>
        <s v="Health"/>
        <s v="Clothing"/>
        <s v="Holiday"/>
        <s v="Education" u="1"/>
      </sharedItems>
    </cacheField>
    <cacheField name="Comments" numFmtId="49">
      <sharedItems/>
    </cacheField>
    <cacheField name="Amount" numFmtId="0">
      <sharedItems containsSemiMixedTypes="0" containsString="0" containsNumber="1" containsInteger="1" minValue="150" maxValue="2500"/>
    </cacheField>
    <cacheField name="Payment Method" numFmtId="0">
      <sharedItems containsBlank="1" count="5">
        <s v="Cash"/>
        <s v="Bank Card"/>
        <s v="Credit Card"/>
        <s v="Bill" u="1"/>
        <m u="1"/>
      </sharedItems>
    </cacheField>
    <cacheField name="Month" numFmtId="0">
      <sharedItems/>
    </cacheField>
  </cacheFields>
  <extLst>
    <ext xmlns:x14="http://schemas.microsoft.com/office/spreadsheetml/2009/9/main" uri="{725AE2AE-9491-48be-B2B4-4EB974FC3084}">
      <x14:pivotCacheDefinition pivotCacheId="1616738946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ercan Ayvaz" refreshedDate="46070.691133912034" createdVersion="8" refreshedVersion="8" minRefreshableVersion="3" recordCount="5" xr:uid="{89CB5EC2-9827-441E-B07F-DEC314ECAF77}">
  <cacheSource type="worksheet">
    <worksheetSource name="tblInvestments"/>
  </cacheSource>
  <cacheFields count="6">
    <cacheField name="Date" numFmtId="0">
      <sharedItems containsDate="1" containsMixedTypes="1" minDate="2023-03-12T00:00:00" maxDate="2023-04-13T00:00:00"/>
    </cacheField>
    <cacheField name="Entity Name" numFmtId="49">
      <sharedItems count="8">
        <s v="Gold"/>
        <s v="Exchange"/>
        <s v="Silver"/>
        <s v="copper"/>
        <s v="asd" u="1"/>
        <s v="$123.00 " u="1"/>
        <s v="a" u="1"/>
        <s v="sd" u="1"/>
      </sharedItems>
    </cacheField>
    <cacheField name="Purchase Price" numFmtId="164">
      <sharedItems containsSemiMixedTypes="0" containsString="0" containsNumber="1" containsInteger="1" minValue="50" maxValue="250"/>
    </cacheField>
    <cacheField name="Current Price" numFmtId="164">
      <sharedItems containsSemiMixedTypes="0" containsString="0" containsNumber="1" containsInteger="1" minValue="75" maxValue="265"/>
    </cacheField>
    <cacheField name="Quantity" numFmtId="0">
      <sharedItems containsSemiMixedTypes="0" containsString="0" containsNumber="1" containsInteger="1" minValue="100" maxValue="230"/>
    </cacheField>
    <cacheField name="Total Value" numFmtId="0" formula="Quantity*'Current Price'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">
  <r>
    <d v="2023-01-12T00:00:00"/>
    <s v="Freelance"/>
    <n v="4500"/>
  </r>
  <r>
    <d v="2023-02-24T00:00:00"/>
    <s v="Debt"/>
    <n v="10000"/>
  </r>
  <r>
    <d v="2023-03-15T00:00:00"/>
    <s v="job"/>
    <n v="7500"/>
  </r>
  <r>
    <s v="28.03.2023"/>
    <s v="job"/>
    <n v="2500"/>
  </r>
  <r>
    <s v="30.06.2023"/>
    <s v="job"/>
    <n v="350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">
  <r>
    <d v="2023-01-10T00:00:00"/>
    <x v="0"/>
    <s v="Good"/>
    <n v="1000"/>
    <x v="0"/>
    <s v="Oca-23"/>
  </r>
  <r>
    <d v="2023-01-11T00:00:00"/>
    <x v="1"/>
    <s v="Average"/>
    <n v="750"/>
    <x v="1"/>
    <s v="Oca-23"/>
  </r>
  <r>
    <d v="2023-01-15T00:00:00"/>
    <x v="2"/>
    <s v="Bad"/>
    <n v="850"/>
    <x v="2"/>
    <s v="Oca-23"/>
  </r>
  <r>
    <d v="2023-01-12T00:00:00"/>
    <x v="3"/>
    <s v="Bad"/>
    <n v="1250"/>
    <x v="2"/>
    <s v="Oca-23"/>
  </r>
  <r>
    <d v="2023-02-18T00:00:00"/>
    <x v="4"/>
    <s v="Good"/>
    <n v="150"/>
    <x v="0"/>
    <s v="Şub-23"/>
  </r>
  <r>
    <d v="2023-02-24T00:00:00"/>
    <x v="5"/>
    <s v="Average"/>
    <n v="2500"/>
    <x v="1"/>
    <s v="Şub-23"/>
  </r>
  <r>
    <d v="2024-03-18T00:00:00"/>
    <x v="0"/>
    <s v="Good"/>
    <n v="1500"/>
    <x v="1"/>
    <s v="Mar-24"/>
  </r>
  <r>
    <s v="24.05.2024"/>
    <x v="4"/>
    <s v="sport"/>
    <n v="1500"/>
    <x v="2"/>
    <s v="May-24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">
  <r>
    <d v="2023-03-12T00:00:00"/>
    <x v="0"/>
    <n v="150"/>
    <n v="250"/>
    <n v="100"/>
  </r>
  <r>
    <d v="2023-04-12T00:00:00"/>
    <x v="1"/>
    <n v="250"/>
    <n v="265"/>
    <n v="125"/>
  </r>
  <r>
    <d v="2023-04-12T00:00:00"/>
    <x v="2"/>
    <n v="180"/>
    <n v="260"/>
    <n v="230"/>
  </r>
  <r>
    <s v="15.05.2023"/>
    <x v="3"/>
    <n v="50"/>
    <n v="75"/>
    <n v="200"/>
  </r>
  <r>
    <s v="18.06.2023"/>
    <x v="0"/>
    <n v="250"/>
    <n v="255"/>
    <n v="17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DBC105C-51EE-40F6-9DC6-845895A1F2E7}" name="PivotTable1" cacheId="114" applyNumberFormats="0" applyBorderFormats="0" applyFontFormats="0" applyPatternFormats="0" applyAlignmentFormats="0" applyWidthHeightFormats="1" dataCaption="Değerler" updatedVersion="8" minRefreshableVersion="3" useAutoFormatting="1" itemPrintTitles="1" createdVersion="8" indent="0" outline="1" outlineData="1" multipleFieldFilters="0" chartFormat="4">
  <location ref="R2:S7" firstHeaderRow="1" firstDataRow="1" firstDataCol="1"/>
  <pivotFields count="6">
    <pivotField numFmtId="14" showAll="0"/>
    <pivotField axis="axisRow" showAll="0">
      <items count="9">
        <item x="1"/>
        <item x="0"/>
        <item x="2"/>
        <item x="3"/>
        <item m="1" x="6"/>
        <item m="1" x="4"/>
        <item m="1" x="7"/>
        <item m="1" x="5"/>
        <item t="default"/>
      </items>
    </pivotField>
    <pivotField numFmtId="164" showAll="0"/>
    <pivotField numFmtId="164" showAll="0"/>
    <pivotField showAll="0"/>
    <pivotField dataField="1" dragToRow="0" dragToCol="0" dragToPage="0" showAll="0" defaultSubtotal="0"/>
  </pivotFields>
  <rowFields count="1">
    <field x="1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Toplam Total Value" fld="5" baseField="0" baseItem="0" numFmtId="164"/>
  </dataFields>
  <chartFormats count="4">
    <chartFormat chart="2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3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4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5015B50-53A8-4185-AD58-432ABA5B68F1}" name="PivotTable5" cacheId="106" applyNumberFormats="0" applyBorderFormats="0" applyFontFormats="0" applyPatternFormats="0" applyAlignmentFormats="0" applyWidthHeightFormats="1" dataCaption="Değerler" updatedVersion="8" minRefreshableVersion="3" useAutoFormatting="1" itemPrintTitles="1" createdVersion="8" indent="0" outline="1" outlineData="1" multipleFieldFilters="0">
  <location ref="U9:U10" firstHeaderRow="1" firstDataRow="1" firstDataCol="0"/>
  <pivotFields count="6">
    <pivotField numFmtId="14" showAll="0"/>
    <pivotField showAll="0"/>
    <pivotField showAll="0"/>
    <pivotField dataField="1" showAll="0"/>
    <pivotField showAll="0">
      <items count="6">
        <item x="1"/>
        <item m="1" x="3"/>
        <item x="0"/>
        <item x="2"/>
        <item m="1" x="4"/>
        <item t="default"/>
      </items>
    </pivotField>
    <pivotField showAll="0"/>
  </pivotFields>
  <rowItems count="1">
    <i/>
  </rowItems>
  <colItems count="1">
    <i/>
  </colItems>
  <dataFields count="1">
    <dataField name="Toplam Amount" fld="3" baseField="0" baseItem="0" numFmtId="164"/>
  </dataFields>
  <formats count="1">
    <format dxfId="3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BFD9E2F-8357-4775-A354-E23F72A3E044}" name="PivotTable4" cacheId="101" applyNumberFormats="0" applyBorderFormats="0" applyFontFormats="0" applyPatternFormats="0" applyAlignmentFormats="0" applyWidthHeightFormats="1" dataCaption="Değerler" updatedVersion="8" minRefreshableVersion="3" useAutoFormatting="1" itemPrintTitles="1" createdVersion="8" indent="0" outline="1" outlineData="1" multipleFieldFilters="0">
  <location ref="U3:U4" firstHeaderRow="1" firstDataRow="1" firstDataCol="0"/>
  <pivotFields count="3">
    <pivotField numFmtId="14" showAll="0"/>
    <pivotField showAll="0"/>
    <pivotField dataField="1" numFmtId="164" showAll="0"/>
  </pivotFields>
  <rowItems count="1">
    <i/>
  </rowItems>
  <colItems count="1">
    <i/>
  </colItems>
  <dataFields count="1">
    <dataField name="Toplam Amount" fld="2" baseField="0" baseItem="0" numFmtId="164"/>
  </dataFields>
  <formats count="1">
    <format dxfId="4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49A6D20-C101-4A28-A703-4B104CEB803A}" name="PivotTable2" cacheId="106" applyNumberFormats="0" applyBorderFormats="0" applyFontFormats="0" applyPatternFormats="0" applyAlignmentFormats="0" applyWidthHeightFormats="1" dataCaption="Değerler" updatedVersion="8" minRefreshableVersion="3" useAutoFormatting="1" itemPrintTitles="1" createdVersion="8" indent="0" outline="1" outlineData="1" multipleFieldFilters="0" chartFormat="1">
  <location ref="Y3:Z10" firstHeaderRow="1" firstDataRow="1" firstDataCol="1"/>
  <pivotFields count="6">
    <pivotField numFmtId="14" showAll="0"/>
    <pivotField axis="axisRow" showAll="0">
      <items count="8">
        <item x="4"/>
        <item x="3"/>
        <item x="5"/>
        <item x="0"/>
        <item x="2"/>
        <item x="1"/>
        <item m="1" x="6"/>
        <item t="default"/>
      </items>
    </pivotField>
    <pivotField showAll="0"/>
    <pivotField dataField="1" showAll="0"/>
    <pivotField showAll="0">
      <items count="6">
        <item x="1"/>
        <item m="1" x="3"/>
        <item x="0"/>
        <item x="2"/>
        <item m="1" x="4"/>
        <item t="default"/>
      </items>
    </pivotField>
    <pivotField showAll="0"/>
  </pivotFields>
  <rowFields count="1">
    <field x="1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Toplam Amount" fld="3" baseField="0" baseItem="0"/>
  </dataFields>
  <chartFormats count="7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5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Dilimleyici_Payment_Method" xr10:uid="{B336789F-05D7-485A-A754-7E5680CF1EB2}" sourceName="Payment Method">
  <pivotTables>
    <pivotTable tabId="4" name="PivotTable2"/>
    <pivotTable tabId="4" name="PivotTable5"/>
  </pivotTables>
  <data>
    <tabular pivotCacheId="1616738946">
      <items count="5">
        <i x="1" s="1"/>
        <i x="0" s="1"/>
        <i x="2" s="1"/>
        <i x="3" s="1" nd="1"/>
        <i x="4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Payment Method" xr10:uid="{261430C7-31FA-4139-A7E1-4E6AFC456BD5}" cache="Dilimleyici_Payment_Method" caption="Payment Method" style="Dilimleyici Stili 1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D77C35C-671C-4714-907D-0E6FC2EB92A5}" name="tblExpenses" displayName="tblExpenses" ref="A1:F9" totalsRowShown="0" headerRowDxfId="23" dataDxfId="22">
  <autoFilter ref="A1:F9" xr:uid="{BD77C35C-671C-4714-907D-0E6FC2EB92A5}"/>
  <tableColumns count="6">
    <tableColumn id="1" xr3:uid="{16002196-92FF-4914-AD7E-661BF8480D14}" name="Date" dataDxfId="21"/>
    <tableColumn id="2" xr3:uid="{167E93CA-E2C3-4CBB-9CEF-665D72A5C996}" name="Category" dataDxfId="20"/>
    <tableColumn id="3" xr3:uid="{795B8A4E-28E8-480C-B800-61281087ABB5}" name="Comments" dataDxfId="19"/>
    <tableColumn id="4" xr3:uid="{2E043B7E-0550-4D7B-9E87-7AE37FF663A2}" name="Amount" dataDxfId="18"/>
    <tableColumn id="5" xr3:uid="{6235AA37-C3CD-4694-97B8-5E1504985811}" name="Payment Method" dataDxfId="17"/>
    <tableColumn id="6" xr3:uid="{96F3C2ED-ECA4-40B9-ACD0-599EC6B67E4F}" name="Month" dataDxfId="16">
      <calculatedColumnFormula>TEXT(tblExpenses[[#This Row],[Date]],"aaa-yy")</calculatedColumnFormula>
    </tableColumn>
  </tableColumns>
  <tableStyleInfo name="Tablo Stili 1 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E1052FF-A1BD-46F5-B573-46B0D62285F0}" name="tblRevenues" displayName="tblRevenues" ref="A1:C6" totalsRowShown="0" headerRowDxfId="15" dataDxfId="14">
  <autoFilter ref="A1:C6" xr:uid="{4E1052FF-A1BD-46F5-B573-46B0D62285F0}"/>
  <tableColumns count="3">
    <tableColumn id="1" xr3:uid="{BB91D786-E1A6-4874-A2E0-95D1D8AFEB35}" name="Date" dataDxfId="13"/>
    <tableColumn id="2" xr3:uid="{08994C79-1890-4B43-86D7-D0E0B0267952}" name="Source" dataDxfId="12"/>
    <tableColumn id="3" xr3:uid="{65DC7C69-CA15-477F-BB87-723A3CAD651E}" name="Amount" dataDxfId="11"/>
  </tableColumns>
  <tableStyleInfo name="Tablo Stili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7A9FB99-3DFB-4377-99CF-C9C05D84DB94}" name="tblInvestments" displayName="tblInvestments" ref="A1:E6" totalsRowShown="0" headerRowDxfId="10" dataDxfId="9">
  <autoFilter ref="A1:E6" xr:uid="{47A9FB99-3DFB-4377-99CF-C9C05D84DB94}"/>
  <tableColumns count="5">
    <tableColumn id="5" xr3:uid="{C2DF7A00-C923-483D-B55C-95576F1626B9}" name="Date" dataDxfId="0"/>
    <tableColumn id="1" xr3:uid="{F697C348-2D7A-41D4-ACAD-19D5C6191776}" name="Entity Name" dataDxfId="8"/>
    <tableColumn id="2" xr3:uid="{C5DE2ADE-B07E-4030-9786-F6C8166962A4}" name="Purchase Price" dataDxfId="7"/>
    <tableColumn id="3" xr3:uid="{BF5FF610-B7EC-4790-BCAE-FFE5B1393EBB}" name="Current Price" dataDxfId="6"/>
    <tableColumn id="4" xr3:uid="{045A4F9C-68A4-4706-971C-4022D2AEFF9E}" name="Quantity" dataDxfId="5"/>
  </tableColumns>
  <tableStyleInfo name="Tablo Stili 1 2 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9DF248F-3A66-4E01-84DE-F6A13F7CD042}" name="tblVC" displayName="tblVC" ref="L1:L11" totalsRowShown="0">
  <autoFilter ref="L1:L11" xr:uid="{29DF248F-3A66-4E01-84DE-F6A13F7CD042}"/>
  <tableColumns count="1">
    <tableColumn id="1" xr3:uid="{D7EFD151-C73A-4522-BE71-F6A7D50F6A20}" name="Category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BB119A2-9FA2-4911-82AC-4BF5C28ABCD5}" name="tblPM" displayName="tblPM" ref="N1:N5" totalsRowShown="0">
  <autoFilter ref="N1:N5" xr:uid="{3BB119A2-9FA2-4911-82AC-4BF5C28ABCD5}"/>
  <tableColumns count="1">
    <tableColumn id="1" xr3:uid="{E730526C-A831-477F-8B68-C0A679A84D96}" name="Payment Methods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34C03261-E085-40FE-B504-67276E9C0F0E}" name="Tablo9" displayName="Tablo9" ref="G1:G11" totalsRowShown="0" headerRowDxfId="2">
  <autoFilter ref="G1:G11" xr:uid="{34C03261-E085-40FE-B504-67276E9C0F0E}"/>
  <tableColumns count="1">
    <tableColumn id="1" xr3:uid="{42DFC6D7-32DD-4A5C-9CAC-F55249332D98}" name="Sum Amount" dataDxfId="1">
      <calculatedColumnFormula>SUMIFS(tblExpenses[Amount],tblExpenses[Category],F2)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openxmlformats.org/officeDocument/2006/relationships/table" Target="../tables/table6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pivotTable" Target="../pivotTables/pivotTable4.xml"/></Relationships>
</file>

<file path=xl/worksheets/_rels/sheet5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ayfa1"/>
  <dimension ref="A1:F9"/>
  <sheetViews>
    <sheetView showGridLines="0" zoomScale="235" zoomScaleNormal="235" workbookViewId="0">
      <selection activeCell="C12" sqref="C12"/>
    </sheetView>
  </sheetViews>
  <sheetFormatPr defaultColWidth="0" defaultRowHeight="15" x14ac:dyDescent="0.25"/>
  <cols>
    <col min="1" max="1" width="11.28515625" style="1" bestFit="1" customWidth="1"/>
    <col min="2" max="2" width="12.42578125" style="1" bestFit="1" customWidth="1"/>
    <col min="3" max="3" width="10.85546875" style="1" customWidth="1"/>
    <col min="4" max="4" width="11.42578125" style="1" bestFit="1" customWidth="1"/>
    <col min="5" max="5" width="16.5703125" style="1" customWidth="1"/>
    <col min="6" max="6" width="9.140625" style="1" customWidth="1"/>
    <col min="7" max="16384" width="9.140625" style="1" hidden="1"/>
  </cols>
  <sheetData>
    <row r="1" spans="1:6" x14ac:dyDescent="0.25">
      <c r="A1" s="5" t="s">
        <v>0</v>
      </c>
      <c r="B1" s="6" t="s">
        <v>1</v>
      </c>
      <c r="C1" s="6" t="s">
        <v>2</v>
      </c>
      <c r="D1" s="7" t="s">
        <v>3</v>
      </c>
      <c r="E1" s="7" t="s">
        <v>4</v>
      </c>
      <c r="F1" s="7" t="s">
        <v>37</v>
      </c>
    </row>
    <row r="2" spans="1:6" x14ac:dyDescent="0.25">
      <c r="A2" s="14">
        <v>44936</v>
      </c>
      <c r="B2" s="2" t="s">
        <v>12</v>
      </c>
      <c r="C2" s="2" t="s">
        <v>8</v>
      </c>
      <c r="D2" s="4">
        <v>1000</v>
      </c>
      <c r="E2" s="1" t="s">
        <v>11</v>
      </c>
      <c r="F2" s="1" t="str">
        <f>TEXT(tblExpenses[[#This Row],[Date]],"aaa-yy")</f>
        <v>Oca-23</v>
      </c>
    </row>
    <row r="3" spans="1:6" x14ac:dyDescent="0.25">
      <c r="A3" s="14">
        <v>44937</v>
      </c>
      <c r="B3" s="2" t="s">
        <v>16</v>
      </c>
      <c r="C3" s="2" t="s">
        <v>24</v>
      </c>
      <c r="D3" s="3">
        <v>750</v>
      </c>
      <c r="E3" s="1" t="s">
        <v>25</v>
      </c>
      <c r="F3" s="1" t="str">
        <f>TEXT(tblExpenses[[#This Row],[Date]],"aaa-yy")</f>
        <v>Oca-23</v>
      </c>
    </row>
    <row r="4" spans="1:6" x14ac:dyDescent="0.25">
      <c r="A4" s="14">
        <v>44941</v>
      </c>
      <c r="B4" s="2" t="s">
        <v>14</v>
      </c>
      <c r="C4" s="2" t="s">
        <v>23</v>
      </c>
      <c r="D4" s="3">
        <v>850</v>
      </c>
      <c r="E4" s="1" t="s">
        <v>10</v>
      </c>
      <c r="F4" s="1" t="str">
        <f>TEXT(tblExpenses[[#This Row],[Date]],"aaa-yy")</f>
        <v>Oca-23</v>
      </c>
    </row>
    <row r="5" spans="1:6" x14ac:dyDescent="0.25">
      <c r="A5" s="14">
        <v>44938</v>
      </c>
      <c r="B5" s="2" t="s">
        <v>18</v>
      </c>
      <c r="C5" s="2" t="s">
        <v>23</v>
      </c>
      <c r="D5" s="3">
        <v>1250</v>
      </c>
      <c r="E5" s="1" t="s">
        <v>10</v>
      </c>
      <c r="F5" s="1" t="str">
        <f>TEXT(tblExpenses[[#This Row],[Date]],"aaa-yy")</f>
        <v>Oca-23</v>
      </c>
    </row>
    <row r="6" spans="1:6" x14ac:dyDescent="0.25">
      <c r="A6" s="14">
        <v>44975</v>
      </c>
      <c r="B6" s="2" t="s">
        <v>19</v>
      </c>
      <c r="C6" s="2" t="s">
        <v>8</v>
      </c>
      <c r="D6" s="3">
        <v>150</v>
      </c>
      <c r="E6" s="1" t="s">
        <v>11</v>
      </c>
      <c r="F6" s="1" t="str">
        <f>TEXT(tblExpenses[[#This Row],[Date]],"aaa-yy")</f>
        <v>Şub-23</v>
      </c>
    </row>
    <row r="7" spans="1:6" x14ac:dyDescent="0.25">
      <c r="A7" s="14">
        <v>44981</v>
      </c>
      <c r="B7" s="2" t="s">
        <v>21</v>
      </c>
      <c r="C7" s="2" t="s">
        <v>24</v>
      </c>
      <c r="D7" s="3">
        <v>2500</v>
      </c>
      <c r="E7" s="1" t="s">
        <v>25</v>
      </c>
      <c r="F7" s="1" t="str">
        <f>TEXT(tblExpenses[[#This Row],[Date]],"aaa-yy")</f>
        <v>Şub-23</v>
      </c>
    </row>
    <row r="8" spans="1:6" x14ac:dyDescent="0.25">
      <c r="A8" s="14">
        <v>45369</v>
      </c>
      <c r="B8" s="2" t="s">
        <v>12</v>
      </c>
      <c r="C8" s="2" t="s">
        <v>8</v>
      </c>
      <c r="D8" s="4">
        <v>1500</v>
      </c>
      <c r="E8" s="1" t="s">
        <v>25</v>
      </c>
      <c r="F8" s="1" t="str">
        <f>TEXT(tblExpenses[[#This Row],[Date]],"aaa-yy")</f>
        <v>Mar-24</v>
      </c>
    </row>
    <row r="9" spans="1:6" x14ac:dyDescent="0.25">
      <c r="A9" s="14" t="s">
        <v>45</v>
      </c>
      <c r="B9" s="2" t="s">
        <v>19</v>
      </c>
      <c r="C9" s="2" t="s">
        <v>46</v>
      </c>
      <c r="D9" s="4">
        <v>1500</v>
      </c>
      <c r="E9" s="1" t="s">
        <v>10</v>
      </c>
      <c r="F9" s="13" t="str">
        <f>TEXT(tblExpenses[[#This Row],[Date]],"aaa-yy")</f>
        <v>May-24</v>
      </c>
    </row>
  </sheetData>
  <dataValidations count="2">
    <dataValidation type="list" allowBlank="1" showInputMessage="1" showErrorMessage="1" sqref="B2:B9" xr:uid="{79A6AE2D-8656-40CE-B636-891D522DC3EC}">
      <formula1>INDIRECT("tblVC[Category]")</formula1>
    </dataValidation>
    <dataValidation type="list" allowBlank="1" showInputMessage="1" showErrorMessage="1" sqref="E2:E9" xr:uid="{B5332C07-C79A-4151-A658-8ED04F8DCA19}">
      <formula1>INDIRECT("tblPM[Payment Methods]")</formula1>
    </dataValidation>
  </dataValidations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09CD2-67F2-40D1-9C50-088B62333233}">
  <sheetPr codeName="Sayfa2"/>
  <dimension ref="A1:C6"/>
  <sheetViews>
    <sheetView showGridLines="0" zoomScale="235" zoomScaleNormal="235" workbookViewId="0">
      <selection activeCell="C12" sqref="C12"/>
    </sheetView>
  </sheetViews>
  <sheetFormatPr defaultColWidth="0" defaultRowHeight="15" x14ac:dyDescent="0.25"/>
  <cols>
    <col min="1" max="1" width="11.28515625" style="1" bestFit="1" customWidth="1"/>
    <col min="2" max="2" width="14.7109375" style="1" customWidth="1"/>
    <col min="3" max="3" width="11.28515625" style="1" bestFit="1" customWidth="1"/>
    <col min="4" max="16384" width="9.140625" style="1" hidden="1"/>
  </cols>
  <sheetData>
    <row r="1" spans="1:3" x14ac:dyDescent="0.25">
      <c r="A1" s="5" t="s">
        <v>0</v>
      </c>
      <c r="B1" s="6" t="s">
        <v>5</v>
      </c>
      <c r="C1" s="7" t="s">
        <v>3</v>
      </c>
    </row>
    <row r="2" spans="1:3" x14ac:dyDescent="0.25">
      <c r="A2" s="14">
        <v>44938</v>
      </c>
      <c r="B2" s="2" t="s">
        <v>26</v>
      </c>
      <c r="C2" s="3">
        <v>4500</v>
      </c>
    </row>
    <row r="3" spans="1:3" x14ac:dyDescent="0.25">
      <c r="A3" s="14">
        <v>44981</v>
      </c>
      <c r="B3" s="2" t="s">
        <v>43</v>
      </c>
      <c r="C3" s="3">
        <v>10000</v>
      </c>
    </row>
    <row r="4" spans="1:3" x14ac:dyDescent="0.25">
      <c r="A4" s="14">
        <v>45000</v>
      </c>
      <c r="B4" s="2" t="s">
        <v>27</v>
      </c>
      <c r="C4" s="3">
        <v>7500</v>
      </c>
    </row>
    <row r="5" spans="1:3" x14ac:dyDescent="0.25">
      <c r="A5" s="14" t="s">
        <v>47</v>
      </c>
      <c r="B5" s="2" t="s">
        <v>27</v>
      </c>
      <c r="C5" s="3">
        <v>2500</v>
      </c>
    </row>
    <row r="6" spans="1:3" x14ac:dyDescent="0.25">
      <c r="A6" s="14" t="s">
        <v>51</v>
      </c>
      <c r="B6" s="2" t="s">
        <v>52</v>
      </c>
      <c r="C6" s="3">
        <v>3500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D8CC3C-16EA-48F3-B9C4-BAC0416CFF36}">
  <sheetPr codeName="Sayfa3"/>
  <dimension ref="A1:F6"/>
  <sheetViews>
    <sheetView showGridLines="0" zoomScale="205" zoomScaleNormal="205" workbookViewId="0">
      <selection activeCell="C12" sqref="C12"/>
    </sheetView>
  </sheetViews>
  <sheetFormatPr defaultColWidth="0" defaultRowHeight="15" x14ac:dyDescent="0.25"/>
  <cols>
    <col min="1" max="1" width="11.85546875" style="1" customWidth="1"/>
    <col min="2" max="2" width="12.140625" style="2" customWidth="1"/>
    <col min="3" max="3" width="13.28515625" style="1" customWidth="1"/>
    <col min="4" max="4" width="13" style="1" customWidth="1"/>
    <col min="5" max="5" width="10.42578125" style="1" customWidth="1"/>
    <col min="7" max="16384" width="9.140625" style="1" hidden="1"/>
  </cols>
  <sheetData>
    <row r="1" spans="1:6" x14ac:dyDescent="0.25">
      <c r="A1" s="7" t="s">
        <v>0</v>
      </c>
      <c r="B1" s="6" t="s">
        <v>6</v>
      </c>
      <c r="C1" s="7" t="s">
        <v>35</v>
      </c>
      <c r="D1" s="7" t="s">
        <v>7</v>
      </c>
      <c r="E1" s="7" t="s">
        <v>36</v>
      </c>
      <c r="F1" s="1"/>
    </row>
    <row r="2" spans="1:6" x14ac:dyDescent="0.25">
      <c r="A2" s="14">
        <v>44997</v>
      </c>
      <c r="B2" s="2" t="s">
        <v>28</v>
      </c>
      <c r="C2" s="3">
        <v>150</v>
      </c>
      <c r="D2" s="3">
        <v>250</v>
      </c>
      <c r="E2" s="1">
        <v>100</v>
      </c>
      <c r="F2" s="1"/>
    </row>
    <row r="3" spans="1:6" x14ac:dyDescent="0.25">
      <c r="A3" s="14">
        <v>45028</v>
      </c>
      <c r="B3" s="2" t="s">
        <v>29</v>
      </c>
      <c r="C3" s="3">
        <v>250</v>
      </c>
      <c r="D3" s="3">
        <v>265</v>
      </c>
      <c r="E3" s="1">
        <v>125</v>
      </c>
      <c r="F3" s="1"/>
    </row>
    <row r="4" spans="1:6" x14ac:dyDescent="0.25">
      <c r="A4" s="14">
        <v>45028</v>
      </c>
      <c r="B4" s="2" t="s">
        <v>42</v>
      </c>
      <c r="C4" s="3">
        <v>180</v>
      </c>
      <c r="D4" s="3">
        <v>260</v>
      </c>
      <c r="E4" s="1">
        <v>230</v>
      </c>
      <c r="F4" s="1"/>
    </row>
    <row r="5" spans="1:6" x14ac:dyDescent="0.25">
      <c r="A5" s="15" t="s">
        <v>49</v>
      </c>
      <c r="B5" s="2" t="s">
        <v>48</v>
      </c>
      <c r="C5" s="3">
        <v>50</v>
      </c>
      <c r="D5" s="3">
        <v>75</v>
      </c>
      <c r="E5" s="1">
        <v>200</v>
      </c>
      <c r="F5" s="1"/>
    </row>
    <row r="6" spans="1:6" x14ac:dyDescent="0.25">
      <c r="A6" s="15" t="s">
        <v>50</v>
      </c>
      <c r="B6" s="2" t="s">
        <v>28</v>
      </c>
      <c r="C6" s="3">
        <v>250</v>
      </c>
      <c r="D6" s="3">
        <v>255</v>
      </c>
      <c r="E6" s="1">
        <v>170</v>
      </c>
      <c r="F6" s="1"/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E20CC2-1250-4EA8-AFEA-1BE6AFD3DB46}">
  <sheetPr codeName="Sayfa4"/>
  <dimension ref="A1:Z11"/>
  <sheetViews>
    <sheetView topLeftCell="G1" zoomScale="130" zoomScaleNormal="130" workbookViewId="0">
      <selection activeCell="A41" sqref="A41:XFD1048576"/>
    </sheetView>
  </sheetViews>
  <sheetFormatPr defaultRowHeight="15" x14ac:dyDescent="0.25"/>
  <cols>
    <col min="1" max="1" width="25.140625" bestFit="1" customWidth="1"/>
    <col min="2" max="2" width="14.85546875" customWidth="1"/>
    <col min="6" max="6" width="14.140625" bestFit="1" customWidth="1"/>
    <col min="7" max="7" width="19.5703125" customWidth="1"/>
    <col min="11" max="11" width="9.85546875" bestFit="1" customWidth="1"/>
    <col min="12" max="12" width="14.140625" bestFit="1" customWidth="1"/>
    <col min="14" max="14" width="17.42578125" bestFit="1" customWidth="1"/>
    <col min="18" max="18" width="16" bestFit="1" customWidth="1"/>
    <col min="19" max="19" width="18.28515625" bestFit="1" customWidth="1"/>
    <col min="21" max="21" width="15.28515625" bestFit="1" customWidth="1"/>
    <col min="25" max="25" width="16" bestFit="1" customWidth="1"/>
    <col min="26" max="26" width="15.28515625" bestFit="1" customWidth="1"/>
  </cols>
  <sheetData>
    <row r="1" spans="1:26" x14ac:dyDescent="0.25">
      <c r="A1" t="s">
        <v>30</v>
      </c>
      <c r="B1" s="8">
        <f>SUM(tblRevenues[Amount])</f>
        <v>28000</v>
      </c>
      <c r="G1" s="8" t="s">
        <v>34</v>
      </c>
      <c r="L1" t="s">
        <v>1</v>
      </c>
      <c r="N1" t="s">
        <v>9</v>
      </c>
    </row>
    <row r="2" spans="1:26" x14ac:dyDescent="0.25">
      <c r="A2" t="s">
        <v>31</v>
      </c>
      <c r="B2" s="8">
        <f>SUM(tblExpenses[Amount])</f>
        <v>9500</v>
      </c>
      <c r="F2" t="str" cm="1">
        <f t="array" ref="F2:F11">tblVC[Category]</f>
        <v>Housing</v>
      </c>
      <c r="G2" s="8">
        <f>SUMIFS(tblExpenses[Amount],tblExpenses[Category],F2)</f>
        <v>2500</v>
      </c>
      <c r="L2" t="s">
        <v>12</v>
      </c>
      <c r="N2" t="s">
        <v>10</v>
      </c>
      <c r="R2" s="10" t="s">
        <v>39</v>
      </c>
      <c r="S2" t="s">
        <v>41</v>
      </c>
    </row>
    <row r="3" spans="1:26" x14ac:dyDescent="0.25">
      <c r="A3" t="s">
        <v>32</v>
      </c>
      <c r="B3" s="8">
        <f>U4-U10</f>
        <v>18500</v>
      </c>
      <c r="F3" t="str">
        <v>Education</v>
      </c>
      <c r="G3" s="8">
        <f>SUMIFS(tblExpenses[Amount],tblExpenses[Category],F3)</f>
        <v>0</v>
      </c>
      <c r="L3" t="s">
        <v>13</v>
      </c>
      <c r="N3" t="s">
        <v>25</v>
      </c>
      <c r="R3" s="11" t="s">
        <v>29</v>
      </c>
      <c r="S3" s="8">
        <v>33125</v>
      </c>
      <c r="U3" t="s">
        <v>44</v>
      </c>
      <c r="Y3" s="10" t="s">
        <v>39</v>
      </c>
      <c r="Z3" t="s">
        <v>44</v>
      </c>
    </row>
    <row r="4" spans="1:26" x14ac:dyDescent="0.25">
      <c r="A4" t="s">
        <v>33</v>
      </c>
      <c r="B4" s="8">
        <f>SUMPRODUCT(tblInvestments[Current Price],tblInvestments[Quantity])</f>
        <v>176275</v>
      </c>
      <c r="F4" t="str">
        <v>Rent</v>
      </c>
      <c r="G4" s="8">
        <f>SUMIFS(tblExpenses[Amount],tblExpenses[Category],F4)</f>
        <v>850</v>
      </c>
      <c r="L4" t="s">
        <v>14</v>
      </c>
      <c r="N4" t="s">
        <v>11</v>
      </c>
      <c r="R4" s="11" t="s">
        <v>28</v>
      </c>
      <c r="S4" s="8">
        <v>136350</v>
      </c>
      <c r="U4" s="8">
        <v>28000</v>
      </c>
      <c r="Y4" s="11" t="s">
        <v>19</v>
      </c>
      <c r="Z4" s="12">
        <v>1650</v>
      </c>
    </row>
    <row r="5" spans="1:26" x14ac:dyDescent="0.25">
      <c r="A5" t="s">
        <v>38</v>
      </c>
      <c r="B5" s="8" cm="1">
        <f t="array" ref="B5">SUMPRODUCT((tblInvestments[Current Price]-tblInvestments[Purchase Price]),tblInvestments[Quantity])</f>
        <v>36125</v>
      </c>
      <c r="F5" t="str">
        <v>İnsurance</v>
      </c>
      <c r="G5" s="8">
        <f>SUMIFS(tblExpenses[Amount],tblExpenses[Category],F5)</f>
        <v>0</v>
      </c>
      <c r="L5" t="s">
        <v>15</v>
      </c>
      <c r="N5" t="s">
        <v>22</v>
      </c>
      <c r="R5" s="11" t="s">
        <v>42</v>
      </c>
      <c r="S5" s="8">
        <v>59800</v>
      </c>
      <c r="Y5" s="11" t="s">
        <v>18</v>
      </c>
      <c r="Z5" s="12">
        <v>1250</v>
      </c>
    </row>
    <row r="6" spans="1:26" x14ac:dyDescent="0.25">
      <c r="F6" t="str">
        <v>Taxes</v>
      </c>
      <c r="G6" s="8">
        <f>SUMIFS(tblExpenses[Amount],tblExpenses[Category],F6)</f>
        <v>750</v>
      </c>
      <c r="L6" t="s">
        <v>16</v>
      </c>
      <c r="R6" s="11" t="s">
        <v>48</v>
      </c>
      <c r="S6" s="8">
        <v>15000</v>
      </c>
      <c r="Y6" s="11" t="s">
        <v>21</v>
      </c>
      <c r="Z6" s="12">
        <v>2500</v>
      </c>
    </row>
    <row r="7" spans="1:26" x14ac:dyDescent="0.25">
      <c r="F7" t="str">
        <v>Transportation</v>
      </c>
      <c r="G7" s="8">
        <f>SUMIFS(tblExpenses[Amount],tblExpenses[Category],F7)</f>
        <v>0</v>
      </c>
      <c r="L7" t="s">
        <v>17</v>
      </c>
      <c r="R7" s="11" t="s">
        <v>40</v>
      </c>
      <c r="S7" s="8">
        <v>911625</v>
      </c>
      <c r="Y7" s="11" t="s">
        <v>12</v>
      </c>
      <c r="Z7" s="12">
        <v>2500</v>
      </c>
    </row>
    <row r="8" spans="1:26" x14ac:dyDescent="0.25">
      <c r="F8" t="str">
        <v>Health</v>
      </c>
      <c r="G8" s="8">
        <f>SUMIFS(tblExpenses[Amount],tblExpenses[Category],F8)</f>
        <v>1250</v>
      </c>
      <c r="L8" t="s">
        <v>18</v>
      </c>
      <c r="Y8" s="11" t="s">
        <v>14</v>
      </c>
      <c r="Z8" s="12">
        <v>850</v>
      </c>
    </row>
    <row r="9" spans="1:26" x14ac:dyDescent="0.25">
      <c r="F9" t="str">
        <v>Clothing</v>
      </c>
      <c r="G9" s="8">
        <f>SUMIFS(tblExpenses[Amount],tblExpenses[Category],F9)</f>
        <v>1650</v>
      </c>
      <c r="L9" t="s">
        <v>19</v>
      </c>
      <c r="U9" t="s">
        <v>44</v>
      </c>
      <c r="Y9" s="11" t="s">
        <v>16</v>
      </c>
      <c r="Z9" s="12">
        <v>750</v>
      </c>
    </row>
    <row r="10" spans="1:26" x14ac:dyDescent="0.25">
      <c r="F10" t="str">
        <v>Entertainment</v>
      </c>
      <c r="G10" s="8">
        <f>SUMIFS(tblExpenses[Amount],tblExpenses[Category],F10)</f>
        <v>0</v>
      </c>
      <c r="L10" t="s">
        <v>20</v>
      </c>
      <c r="U10" s="8">
        <v>9500</v>
      </c>
      <c r="Y10" s="11" t="s">
        <v>40</v>
      </c>
      <c r="Z10" s="12">
        <v>9500</v>
      </c>
    </row>
    <row r="11" spans="1:26" x14ac:dyDescent="0.25">
      <c r="F11" t="str">
        <v>Holiday</v>
      </c>
      <c r="G11" s="8">
        <f>SUMIFS(tblExpenses[Amount],tblExpenses[Category],F11)</f>
        <v>2500</v>
      </c>
      <c r="L11" t="s">
        <v>21</v>
      </c>
    </row>
  </sheetData>
  <pageMargins left="0.7" right="0.7" top="0.75" bottom="0.75" header="0.3" footer="0.3"/>
  <tableParts count="3">
    <tablePart r:id="rId5"/>
    <tablePart r:id="rId6"/>
    <tablePart r:id="rId7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4859D2-DA96-4FE7-A3F1-3DD52F6BE940}">
  <sheetPr codeName="Sayfa5">
    <tabColor theme="4" tint="-0.249977111117893"/>
    <pageSetUpPr fitToPage="1"/>
  </sheetPr>
  <dimension ref="A1:X1"/>
  <sheetViews>
    <sheetView showGridLines="0" showRowColHeaders="0" tabSelected="1" zoomScale="115" zoomScaleNormal="115" workbookViewId="0">
      <selection activeCell="V36" sqref="V36"/>
    </sheetView>
  </sheetViews>
  <sheetFormatPr defaultColWidth="0" defaultRowHeight="15" x14ac:dyDescent="0.25"/>
  <cols>
    <col min="1" max="24" width="9.140625" style="9" customWidth="1"/>
    <col min="25" max="16384" width="9.140625" style="9" hidden="1"/>
  </cols>
  <sheetData/>
  <pageMargins left="0.2" right="0.2" top="0.2" bottom="0.2" header="0.3" footer="0.3"/>
  <pageSetup paperSize="9" scale="65" orientation="landscape" r:id="rId1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5</vt:i4>
      </vt:variant>
    </vt:vector>
  </HeadingPairs>
  <TitlesOfParts>
    <vt:vector size="5" baseType="lpstr">
      <vt:lpstr>tbl_Expenses</vt:lpstr>
      <vt:lpstr>tbl_Revenues</vt:lpstr>
      <vt:lpstr>tbl_Investments</vt:lpstr>
      <vt:lpstr>calculation</vt:lpstr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Sercan Ayvaz</dc:creator>
  <cp:lastModifiedBy>Sercan Ayvaz</cp:lastModifiedBy>
  <cp:lastPrinted>2026-02-17T13:34:59Z</cp:lastPrinted>
  <dcterms:created xsi:type="dcterms:W3CDTF">2015-06-05T18:19:34Z</dcterms:created>
  <dcterms:modified xsi:type="dcterms:W3CDTF">2026-02-17T13:36:06Z</dcterms:modified>
</cp:coreProperties>
</file>